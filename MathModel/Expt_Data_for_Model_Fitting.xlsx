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47158061502/WOPIServiceId_TP_BOX_2/WOPIUserId_-/"/>
    </mc:Choice>
  </mc:AlternateContent>
  <xr:revisionPtr revIDLastSave="1" documentId="13_ncr:1_{D4B570A5-31C1-4951-A4B0-0CE01E91AE1A}" xr6:coauthVersionLast="47" xr6:coauthVersionMax="47" xr10:uidLastSave="{59F3C2E7-DC9C-4F34-BA97-095BEE21D147}"/>
  <bookViews>
    <workbookView xWindow="-98" yWindow="-98" windowWidth="21795" windowHeight="13875" activeTab="2" xr2:uid="{00000000-000D-0000-FFFF-FFFF00000000}"/>
  </bookViews>
  <sheets>
    <sheet name="KO_vs_WT" sheetId="11" r:id="rId1"/>
    <sheet name="Old_vs_WT" sheetId="12" r:id="rId2"/>
    <sheet name="Scenario1_rates" sheetId="13" r:id="rId3"/>
    <sheet name="Scenario2_rates" sheetId="14" r:id="rId4"/>
    <sheet name="Scenario3_rates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1" l="1"/>
  <c r="M8" i="11"/>
  <c r="N8" i="11"/>
  <c r="O8" i="11"/>
  <c r="P8" i="11"/>
  <c r="Q8" i="11"/>
  <c r="R8" i="11"/>
  <c r="L9" i="11"/>
  <c r="M9" i="11"/>
  <c r="N9" i="11"/>
  <c r="O9" i="11"/>
  <c r="P9" i="11"/>
  <c r="Q9" i="11"/>
  <c r="R9" i="11"/>
  <c r="R3" i="11"/>
  <c r="R4" i="11"/>
  <c r="R5" i="11"/>
  <c r="R6" i="11"/>
  <c r="R7" i="11"/>
  <c r="R10" i="11"/>
  <c r="R11" i="11"/>
  <c r="R12" i="11"/>
  <c r="R13" i="11"/>
  <c r="R14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9" i="11"/>
  <c r="R30" i="11"/>
  <c r="R31" i="11"/>
  <c r="R32" i="11"/>
  <c r="R33" i="11"/>
  <c r="R34" i="11"/>
  <c r="R35" i="11"/>
  <c r="R36" i="11"/>
  <c r="R23" i="12" l="1"/>
  <c r="Q23" i="12"/>
  <c r="P23" i="12"/>
  <c r="O23" i="12"/>
  <c r="N23" i="12"/>
  <c r="M23" i="12"/>
  <c r="L23" i="12"/>
  <c r="R22" i="12"/>
  <c r="Q22" i="12"/>
  <c r="P22" i="12"/>
  <c r="O22" i="12"/>
  <c r="N22" i="12"/>
  <c r="M22" i="12"/>
  <c r="L22" i="12"/>
  <c r="R21" i="12"/>
  <c r="Q21" i="12"/>
  <c r="P21" i="12"/>
  <c r="O21" i="12"/>
  <c r="N21" i="12"/>
  <c r="M21" i="12"/>
  <c r="L21" i="12"/>
  <c r="R20" i="12"/>
  <c r="Q20" i="12"/>
  <c r="P20" i="12"/>
  <c r="O20" i="12"/>
  <c r="N20" i="12"/>
  <c r="M20" i="12"/>
  <c r="L20" i="12"/>
  <c r="R19" i="12"/>
  <c r="Q19" i="12"/>
  <c r="P19" i="12"/>
  <c r="O19" i="12"/>
  <c r="N19" i="12"/>
  <c r="M19" i="12"/>
  <c r="L19" i="12"/>
  <c r="R17" i="12"/>
  <c r="Q17" i="12"/>
  <c r="P17" i="12"/>
  <c r="O17" i="12"/>
  <c r="N17" i="12"/>
  <c r="M17" i="12"/>
  <c r="L17" i="12"/>
  <c r="R16" i="12"/>
  <c r="Q16" i="12"/>
  <c r="P16" i="12"/>
  <c r="O16" i="12"/>
  <c r="N16" i="12"/>
  <c r="M16" i="12"/>
  <c r="L16" i="12"/>
  <c r="R15" i="12"/>
  <c r="Q15" i="12"/>
  <c r="P15" i="12"/>
  <c r="O15" i="12"/>
  <c r="N15" i="12"/>
  <c r="M15" i="12"/>
  <c r="L15" i="12"/>
  <c r="R14" i="12"/>
  <c r="Q14" i="12"/>
  <c r="P14" i="12"/>
  <c r="O14" i="12"/>
  <c r="N14" i="12"/>
  <c r="M14" i="12"/>
  <c r="L14" i="12"/>
  <c r="R13" i="12"/>
  <c r="Q13" i="12"/>
  <c r="P13" i="12"/>
  <c r="O13" i="12"/>
  <c r="N13" i="12"/>
  <c r="M13" i="12"/>
  <c r="L13" i="12"/>
  <c r="R11" i="12"/>
  <c r="Q11" i="12"/>
  <c r="P11" i="12"/>
  <c r="O11" i="12"/>
  <c r="N11" i="12"/>
  <c r="M11" i="12"/>
  <c r="L11" i="12"/>
  <c r="R10" i="12"/>
  <c r="Q10" i="12"/>
  <c r="P10" i="12"/>
  <c r="O10" i="12"/>
  <c r="N10" i="12"/>
  <c r="M10" i="12"/>
  <c r="L10" i="12"/>
  <c r="R9" i="12"/>
  <c r="Q9" i="12"/>
  <c r="P9" i="12"/>
  <c r="O9" i="12"/>
  <c r="N9" i="12"/>
  <c r="M9" i="12"/>
  <c r="L9" i="12"/>
  <c r="R8" i="12"/>
  <c r="Q8" i="12"/>
  <c r="P8" i="12"/>
  <c r="O8" i="12"/>
  <c r="N8" i="12"/>
  <c r="M8" i="12"/>
  <c r="L8" i="12"/>
  <c r="R7" i="12"/>
  <c r="Q7" i="12"/>
  <c r="P7" i="12"/>
  <c r="O7" i="12"/>
  <c r="N7" i="12"/>
  <c r="M7" i="12"/>
  <c r="L7" i="12"/>
  <c r="R6" i="12"/>
  <c r="Q6" i="12"/>
  <c r="P6" i="12"/>
  <c r="O6" i="12"/>
  <c r="N6" i="12"/>
  <c r="M6" i="12"/>
  <c r="L6" i="12"/>
  <c r="R5" i="12"/>
  <c r="Q5" i="12"/>
  <c r="P5" i="12"/>
  <c r="O5" i="12"/>
  <c r="N5" i="12"/>
  <c r="M5" i="12"/>
  <c r="L5" i="12"/>
  <c r="R4" i="12"/>
  <c r="Q4" i="12"/>
  <c r="P4" i="12"/>
  <c r="O4" i="12"/>
  <c r="N4" i="12"/>
  <c r="M4" i="12"/>
  <c r="L4" i="12"/>
  <c r="R3" i="12"/>
  <c r="Q3" i="12"/>
  <c r="P3" i="12"/>
  <c r="O3" i="12"/>
  <c r="N3" i="12"/>
  <c r="M3" i="12"/>
  <c r="L3" i="12"/>
  <c r="L3" i="11"/>
  <c r="M3" i="11"/>
  <c r="N3" i="11"/>
  <c r="O3" i="11"/>
  <c r="P3" i="11"/>
  <c r="Q3" i="11"/>
  <c r="L4" i="11"/>
  <c r="M4" i="11"/>
  <c r="N4" i="11"/>
  <c r="O4" i="11"/>
  <c r="P4" i="11"/>
  <c r="Q4" i="11"/>
  <c r="L5" i="11"/>
  <c r="M5" i="11"/>
  <c r="N5" i="11"/>
  <c r="O5" i="11"/>
  <c r="P5" i="11"/>
  <c r="Q5" i="11"/>
  <c r="L6" i="11"/>
  <c r="M6" i="11"/>
  <c r="N6" i="11"/>
  <c r="O6" i="11"/>
  <c r="P6" i="11"/>
  <c r="Q6" i="11"/>
  <c r="L7" i="11"/>
  <c r="M7" i="11"/>
  <c r="N7" i="11"/>
  <c r="O7" i="11"/>
  <c r="P7" i="11"/>
  <c r="Q7" i="11"/>
  <c r="L10" i="11"/>
  <c r="M10" i="11"/>
  <c r="N10" i="11"/>
  <c r="O10" i="11"/>
  <c r="P10" i="11"/>
  <c r="Q10" i="11"/>
  <c r="L11" i="11"/>
  <c r="M11" i="11"/>
  <c r="N11" i="11"/>
  <c r="O11" i="11"/>
  <c r="P11" i="11"/>
  <c r="Q11" i="11"/>
  <c r="L12" i="11"/>
  <c r="M12" i="11"/>
  <c r="N12" i="11"/>
  <c r="O12" i="11"/>
  <c r="P12" i="11"/>
  <c r="Q12" i="11"/>
  <c r="L13" i="11"/>
  <c r="M13" i="11"/>
  <c r="N13" i="11"/>
  <c r="O13" i="11"/>
  <c r="P13" i="11"/>
  <c r="Q13" i="11"/>
  <c r="L14" i="11"/>
  <c r="M14" i="11"/>
  <c r="N14" i="11"/>
  <c r="O14" i="11"/>
  <c r="P14" i="11"/>
  <c r="Q14" i="11"/>
  <c r="L16" i="11"/>
  <c r="M16" i="11"/>
  <c r="N16" i="11"/>
  <c r="O16" i="11"/>
  <c r="P16" i="11"/>
  <c r="Q16" i="11"/>
  <c r="L17" i="11"/>
  <c r="M17" i="11"/>
  <c r="N17" i="11"/>
  <c r="O17" i="11"/>
  <c r="P17" i="11"/>
  <c r="Q17" i="11"/>
  <c r="L18" i="11"/>
  <c r="M18" i="11"/>
  <c r="N18" i="11"/>
  <c r="O18" i="11"/>
  <c r="P18" i="11"/>
  <c r="Q18" i="11"/>
  <c r="L19" i="11"/>
  <c r="M19" i="11"/>
  <c r="N19" i="11"/>
  <c r="O19" i="11"/>
  <c r="P19" i="11"/>
  <c r="Q19" i="11"/>
  <c r="L20" i="11"/>
  <c r="M20" i="11"/>
  <c r="N20" i="11"/>
  <c r="O20" i="11"/>
  <c r="P20" i="11"/>
  <c r="Q20" i="11"/>
  <c r="L21" i="11"/>
  <c r="M21" i="11"/>
  <c r="N21" i="11"/>
  <c r="O21" i="11"/>
  <c r="P21" i="11"/>
  <c r="Q21" i="11"/>
  <c r="L22" i="11"/>
  <c r="M22" i="11"/>
  <c r="N22" i="11"/>
  <c r="O22" i="11"/>
  <c r="P22" i="11"/>
  <c r="Q22" i="11"/>
  <c r="L23" i="11"/>
  <c r="M23" i="11"/>
  <c r="N23" i="11"/>
  <c r="O23" i="11"/>
  <c r="P23" i="11"/>
  <c r="Q23" i="11"/>
  <c r="L24" i="11"/>
  <c r="M24" i="11"/>
  <c r="N24" i="11"/>
  <c r="O24" i="11"/>
  <c r="P24" i="11"/>
  <c r="Q24" i="11"/>
  <c r="L25" i="11"/>
  <c r="M25" i="11"/>
  <c r="N25" i="11"/>
  <c r="O25" i="11"/>
  <c r="P25" i="11"/>
  <c r="Q25" i="11"/>
  <c r="L26" i="11"/>
  <c r="M26" i="11"/>
  <c r="N26" i="11"/>
  <c r="O26" i="11"/>
  <c r="P26" i="11"/>
  <c r="Q26" i="11"/>
  <c r="L27" i="11"/>
  <c r="M27" i="11"/>
  <c r="N27" i="11"/>
  <c r="O27" i="11"/>
  <c r="P27" i="11"/>
  <c r="Q27" i="11"/>
  <c r="L29" i="11"/>
  <c r="M29" i="11"/>
  <c r="N29" i="11"/>
  <c r="O29" i="11"/>
  <c r="P29" i="11"/>
  <c r="Q29" i="11"/>
  <c r="L30" i="11"/>
  <c r="M30" i="11"/>
  <c r="N30" i="11"/>
  <c r="O30" i="11"/>
  <c r="P30" i="11"/>
  <c r="Q30" i="11"/>
  <c r="L31" i="11"/>
  <c r="M31" i="11"/>
  <c r="N31" i="11"/>
  <c r="O31" i="11"/>
  <c r="P31" i="11"/>
  <c r="Q31" i="11"/>
  <c r="L32" i="11"/>
  <c r="M32" i="11"/>
  <c r="N32" i="11"/>
  <c r="O32" i="11"/>
  <c r="P32" i="11"/>
  <c r="Q32" i="11"/>
  <c r="L33" i="11"/>
  <c r="M33" i="11"/>
  <c r="N33" i="11"/>
  <c r="O33" i="11"/>
  <c r="P33" i="11"/>
  <c r="Q33" i="11"/>
  <c r="L34" i="11"/>
  <c r="M34" i="11"/>
  <c r="N34" i="11"/>
  <c r="O34" i="11"/>
  <c r="P34" i="11"/>
  <c r="Q34" i="11"/>
  <c r="L35" i="11"/>
  <c r="M35" i="11"/>
  <c r="N35" i="11"/>
  <c r="O35" i="11"/>
  <c r="P35" i="11"/>
  <c r="Q35" i="11"/>
  <c r="L36" i="11"/>
  <c r="M36" i="11"/>
  <c r="N36" i="11"/>
  <c r="O36" i="11"/>
  <c r="P36" i="11"/>
  <c r="Q36" i="11"/>
</calcChain>
</file>

<file path=xl/sharedStrings.xml><?xml version="1.0" encoding="utf-8"?>
<sst xmlns="http://schemas.openxmlformats.org/spreadsheetml/2006/main" count="122" uniqueCount="85">
  <si>
    <t>Live cell</t>
  </si>
  <si>
    <t>WT/12w/07202016</t>
    <phoneticPr fontId="0" type="noConversion"/>
  </si>
  <si>
    <t>ekobkoahet/12w/07202016</t>
    <phoneticPr fontId="0" type="noConversion"/>
  </si>
  <si>
    <t>WT/12w/08102016</t>
    <phoneticPr fontId="0" type="noConversion"/>
  </si>
  <si>
    <t>WT/13w/09142016</t>
    <phoneticPr fontId="0" type="noConversion"/>
  </si>
  <si>
    <t>ekobkoahetRelAHet/09142016</t>
    <phoneticPr fontId="0" type="noConversion"/>
  </si>
  <si>
    <t>ekobkoahet/14w/12212016</t>
    <phoneticPr fontId="0" type="noConversion"/>
  </si>
  <si>
    <t>WT/14w/12222016</t>
    <phoneticPr fontId="0" type="noConversion"/>
  </si>
  <si>
    <t>Percentage of live cells</t>
  </si>
  <si>
    <t>WT RelAv/v 1863/M11w/03132017</t>
  </si>
  <si>
    <t>ekobkoahet RelAv/v 3237/M12w/03132017</t>
  </si>
  <si>
    <t>ekobkoahet RelAv/- 3238/F12w/03132017</t>
  </si>
  <si>
    <t>ekobkoahet RelA+/- 3240/F12w/03132017</t>
  </si>
  <si>
    <t>WT RelAv/+ 3341/M11w/03132017</t>
  </si>
  <si>
    <t>WT RelAv/+ 3342/F11w/03132017</t>
  </si>
  <si>
    <t>ekobkoahet RelA+/+ 3398/M10w/03132017</t>
  </si>
  <si>
    <t>ekobkoahet RelAv/+ 3400/M10w/03132017</t>
  </si>
  <si>
    <t>Fr.A</t>
  </si>
  <si>
    <t>Fr.B</t>
  </si>
  <si>
    <t>Fr.C</t>
  </si>
  <si>
    <t>Fr.C'</t>
  </si>
  <si>
    <t>Fr.D</t>
  </si>
  <si>
    <t>Fr.E</t>
  </si>
  <si>
    <t>Fr.F</t>
  </si>
  <si>
    <t>FrA</t>
    <phoneticPr fontId="2" type="noConversion"/>
  </si>
  <si>
    <t>FrB</t>
    <phoneticPr fontId="2" type="noConversion"/>
  </si>
  <si>
    <t>FrC</t>
    <phoneticPr fontId="2" type="noConversion"/>
  </si>
  <si>
    <t>FrC'</t>
    <phoneticPr fontId="2" type="noConversion"/>
  </si>
  <si>
    <t>FrD</t>
    <phoneticPr fontId="2" type="noConversion"/>
  </si>
  <si>
    <t>FrE</t>
    <phoneticPr fontId="2" type="noConversion"/>
  </si>
  <si>
    <t>FrF</t>
    <phoneticPr fontId="2" type="noConversion"/>
  </si>
  <si>
    <t>ekobkoahet RelAv/- 3399/M10w/03132017</t>
    <phoneticPr fontId="2" type="noConversion"/>
  </si>
  <si>
    <t>B cell staining panel raw data</t>
  </si>
  <si>
    <t>Mouse ID(Genotype/Date)</t>
  </si>
  <si>
    <t>ekobkoahetRelAv/-/02242017</t>
  </si>
  <si>
    <t>ekobkoahetRelAv/+/11162017</t>
  </si>
  <si>
    <t>ekobkoahetRelAv/-2/01132018</t>
  </si>
  <si>
    <t>WT1/10112018</t>
  </si>
  <si>
    <t>WT2/10112018</t>
  </si>
  <si>
    <t>ekobkoahetRelAv/v1/10112018</t>
  </si>
  <si>
    <t>ekobkoahetRelAv/+1/10112018</t>
  </si>
  <si>
    <t>ekobkoahetRelAv/+2/10112018</t>
  </si>
  <si>
    <t>ekobkoahetRelAv/+3/10112018</t>
  </si>
  <si>
    <t>ekobkoahetRelAv/+4/10112018</t>
  </si>
  <si>
    <t>ekobkoahetRelAv/+5/10112018</t>
  </si>
  <si>
    <t>WT</t>
  </si>
  <si>
    <t>WT/10302018</t>
  </si>
  <si>
    <t>WTv/+1/10302018</t>
  </si>
  <si>
    <t>WTv/+2/10302018</t>
  </si>
  <si>
    <t>ekobkoahetRelAv/-1/10302018</t>
  </si>
  <si>
    <t>ekobkoahetRelAv/-2/10302018</t>
  </si>
  <si>
    <t>Group</t>
  </si>
  <si>
    <t>2.5KO</t>
  </si>
  <si>
    <t>2.5KORelAHet</t>
  </si>
  <si>
    <t>10112016_Y1</t>
    <phoneticPr fontId="2" type="noConversion"/>
  </si>
  <si>
    <t>01092018_Y1</t>
    <phoneticPr fontId="2" type="noConversion"/>
  </si>
  <si>
    <t>01092018_Y2</t>
    <phoneticPr fontId="2" type="noConversion"/>
  </si>
  <si>
    <t>02212018_Y1</t>
    <phoneticPr fontId="2" type="noConversion"/>
  </si>
  <si>
    <t>02212018_Y2</t>
    <phoneticPr fontId="2" type="noConversion"/>
  </si>
  <si>
    <t>02232018_Y1</t>
    <phoneticPr fontId="2" type="noConversion"/>
  </si>
  <si>
    <t>09072016_Y1</t>
  </si>
  <si>
    <t>05232016_Y1</t>
  </si>
  <si>
    <t>06282016_Y1</t>
  </si>
  <si>
    <t>Mouse ID(Date_Rep)</t>
  </si>
  <si>
    <t>OldN</t>
  </si>
  <si>
    <t>OldS</t>
  </si>
  <si>
    <t>01092018_O2</t>
    <phoneticPr fontId="2" type="noConversion"/>
  </si>
  <si>
    <t>01092018_O3</t>
    <phoneticPr fontId="2" type="noConversion"/>
  </si>
  <si>
    <t>02232018_O1</t>
    <phoneticPr fontId="2" type="noConversion"/>
  </si>
  <si>
    <t>05232016_O1</t>
    <phoneticPr fontId="2" type="noConversion"/>
  </si>
  <si>
    <t>09072016_O1</t>
    <phoneticPr fontId="2" type="noConversion"/>
  </si>
  <si>
    <t>01092018_O1</t>
    <phoneticPr fontId="2" type="noConversion"/>
  </si>
  <si>
    <t>02212018_O3</t>
    <phoneticPr fontId="2" type="noConversion"/>
  </si>
  <si>
    <t>02212018_O2</t>
    <phoneticPr fontId="2" type="noConversion"/>
  </si>
  <si>
    <t>06282016_O1</t>
    <phoneticPr fontId="2" type="noConversion"/>
  </si>
  <si>
    <t>10112016_O1</t>
    <phoneticPr fontId="2" type="noConversion"/>
  </si>
  <si>
    <t>Fr A</t>
    <phoneticPr fontId="1" type="noConversion"/>
  </si>
  <si>
    <t>Fr B</t>
    <phoneticPr fontId="1" type="noConversion"/>
  </si>
  <si>
    <t>Fr C</t>
    <phoneticPr fontId="1" type="noConversion"/>
  </si>
  <si>
    <t>Fr C'</t>
    <phoneticPr fontId="1" type="noConversion"/>
  </si>
  <si>
    <t>Fr D</t>
    <phoneticPr fontId="1" type="noConversion"/>
  </si>
  <si>
    <t>Fr E</t>
    <phoneticPr fontId="1" type="noConversion"/>
  </si>
  <si>
    <t>NetProliferation(input)</t>
  </si>
  <si>
    <t>KO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</si>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</sst>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/>
    <xf numFmtId="0" fontId="0" fillId="4" borderId="0" xfId="0" applyFill="1"/>
    <xf numFmtId="0" fontId="0" fillId="4" borderId="1" xfId="0" applyFill="1" applyBorder="1" applyAlignment="1">
      <alignment vertic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C0C"/>
      <color rgb="FFFFD11F"/>
      <color rgb="FF00FF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D47"/>
      </a:accent1>
      <a:accent2>
        <a:srgbClr val="ED7D31"/>
      </a:accent2>
      <a:accent3>
        <a:srgbClr val="8EAADB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0D5B-EEF2-4ABE-9BD8-C840D90498AC}">
  <dimension ref="A1:R36"/>
  <sheetViews>
    <sheetView zoomScaleNormal="100" workbookViewId="0">
      <pane xSplit="2" topLeftCell="C1" activePane="topRight" state="frozen"/>
      <selection pane="topRight" activeCell="D20" sqref="D20"/>
    </sheetView>
  </sheetViews>
  <sheetFormatPr defaultRowHeight="14.25"/>
  <cols>
    <col min="2" max="2" width="39.1328125" customWidth="1"/>
    <col min="4" max="10" width="9.3984375" customWidth="1"/>
    <col min="12" max="17" width="9.3984375" customWidth="1"/>
    <col min="19" max="19" width="18.265625" customWidth="1"/>
    <col min="21" max="21" width="12.265625" bestFit="1" customWidth="1"/>
  </cols>
  <sheetData>
    <row r="1" spans="1:18" s="1" customFormat="1">
      <c r="A1" s="1" t="s">
        <v>51</v>
      </c>
      <c r="B1" s="2" t="s">
        <v>33</v>
      </c>
      <c r="C1" s="7" t="s">
        <v>32</v>
      </c>
      <c r="K1" s="1" t="s">
        <v>8</v>
      </c>
    </row>
    <row r="2" spans="1:18" s="8" customFormat="1">
      <c r="A2" s="8" t="s">
        <v>45</v>
      </c>
      <c r="C2" s="8" t="s">
        <v>0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</row>
    <row r="3" spans="1:18" s="9" customFormat="1">
      <c r="B3" s="10" t="s">
        <v>1</v>
      </c>
      <c r="C3" s="9">
        <v>1496724</v>
      </c>
      <c r="D3" s="9">
        <v>8277</v>
      </c>
      <c r="E3" s="9">
        <v>33424</v>
      </c>
      <c r="F3" s="9">
        <v>2648</v>
      </c>
      <c r="G3" s="9">
        <v>5102</v>
      </c>
      <c r="H3" s="9">
        <v>120743</v>
      </c>
      <c r="I3" s="9">
        <v>28046</v>
      </c>
      <c r="J3" s="9">
        <v>61110</v>
      </c>
      <c r="L3" s="9">
        <f t="shared" ref="L3:L14" si="0">D3/C3*100</f>
        <v>0.55300776896742487</v>
      </c>
      <c r="M3" s="9">
        <f t="shared" ref="M3:M14" si="1">E3/C3*100</f>
        <v>2.2331438528412719</v>
      </c>
      <c r="N3" s="9">
        <f t="shared" ref="N3:N14" si="2">F3/C3*100</f>
        <v>0.17691972601494999</v>
      </c>
      <c r="O3" s="9">
        <f t="shared" ref="O3:O14" si="3">G3/C3*100</f>
        <v>0.34087781047140286</v>
      </c>
      <c r="P3" s="9">
        <f t="shared" ref="P3:P14" si="4">H3/C3*100</f>
        <v>8.0671519932866715</v>
      </c>
      <c r="Q3" s="9">
        <f t="shared" ref="Q3:Q14" si="5">I3/C3*100</f>
        <v>1.8738257688124198</v>
      </c>
      <c r="R3" s="9">
        <f t="shared" ref="R3:R14" si="6">J3/C3*100</f>
        <v>4.0829170909265837</v>
      </c>
    </row>
    <row r="4" spans="1:18" s="9" customFormat="1">
      <c r="B4" s="10" t="s">
        <v>3</v>
      </c>
      <c r="C4" s="9">
        <v>1068702</v>
      </c>
      <c r="D4" s="9">
        <v>4341</v>
      </c>
      <c r="E4" s="9">
        <v>12203</v>
      </c>
      <c r="F4" s="9">
        <v>3755</v>
      </c>
      <c r="G4" s="9">
        <v>5014</v>
      </c>
      <c r="H4" s="9">
        <v>76399</v>
      </c>
      <c r="I4" s="9">
        <v>17572</v>
      </c>
      <c r="J4" s="9">
        <v>19088</v>
      </c>
      <c r="L4" s="9">
        <f t="shared" si="0"/>
        <v>0.40619368168114217</v>
      </c>
      <c r="M4" s="9">
        <f t="shared" si="1"/>
        <v>1.141852452788523</v>
      </c>
      <c r="N4" s="9">
        <f t="shared" si="2"/>
        <v>0.35136080965507693</v>
      </c>
      <c r="O4" s="9">
        <f t="shared" si="3"/>
        <v>0.46916727020254473</v>
      </c>
      <c r="P4" s="9">
        <f t="shared" si="4"/>
        <v>7.148765511807782</v>
      </c>
      <c r="Q4" s="9">
        <f t="shared" si="5"/>
        <v>1.6442375891502028</v>
      </c>
      <c r="R4" s="9">
        <f t="shared" si="6"/>
        <v>1.786091913367805</v>
      </c>
    </row>
    <row r="5" spans="1:18" s="9" customFormat="1">
      <c r="B5" s="10" t="s">
        <v>4</v>
      </c>
      <c r="C5" s="9">
        <v>3802897</v>
      </c>
      <c r="D5" s="9">
        <v>16267</v>
      </c>
      <c r="E5" s="9">
        <v>26679</v>
      </c>
      <c r="F5" s="9">
        <v>12498</v>
      </c>
      <c r="G5" s="9">
        <v>7359</v>
      </c>
      <c r="H5" s="9">
        <v>475000</v>
      </c>
      <c r="I5" s="9">
        <v>219983</v>
      </c>
      <c r="J5" s="9">
        <v>171011</v>
      </c>
      <c r="L5" s="9">
        <f t="shared" si="0"/>
        <v>0.4277528421095812</v>
      </c>
      <c r="M5" s="9">
        <f t="shared" si="1"/>
        <v>0.70154411229123481</v>
      </c>
      <c r="N5" s="9">
        <f t="shared" si="2"/>
        <v>0.32864418889073249</v>
      </c>
      <c r="O5" s="9">
        <f t="shared" si="3"/>
        <v>0.19351036854271889</v>
      </c>
      <c r="P5" s="9">
        <f t="shared" si="4"/>
        <v>12.490477654272519</v>
      </c>
      <c r="Q5" s="9">
        <f t="shared" si="5"/>
        <v>5.7846163069891192</v>
      </c>
      <c r="R5" s="9">
        <f t="shared" si="6"/>
        <v>4.4968612087048374</v>
      </c>
    </row>
    <row r="6" spans="1:18" s="9" customFormat="1">
      <c r="B6" s="10" t="s">
        <v>7</v>
      </c>
      <c r="C6" s="9">
        <v>1464247</v>
      </c>
      <c r="D6" s="9">
        <v>9025</v>
      </c>
      <c r="E6" s="9">
        <v>15530</v>
      </c>
      <c r="F6" s="9">
        <v>2837</v>
      </c>
      <c r="G6" s="9">
        <v>4539</v>
      </c>
      <c r="H6" s="9">
        <v>184900</v>
      </c>
      <c r="I6" s="9">
        <v>55114</v>
      </c>
      <c r="J6" s="9">
        <v>54391</v>
      </c>
      <c r="L6" s="9">
        <f t="shared" si="0"/>
        <v>0.61635775931246573</v>
      </c>
      <c r="M6" s="9">
        <f t="shared" si="1"/>
        <v>1.0606134074374063</v>
      </c>
      <c r="N6" s="9">
        <f t="shared" si="2"/>
        <v>0.19375146406309865</v>
      </c>
      <c r="O6" s="9">
        <f t="shared" si="3"/>
        <v>0.3099886836032445</v>
      </c>
      <c r="P6" s="9">
        <f t="shared" si="4"/>
        <v>12.627650935941819</v>
      </c>
      <c r="Q6" s="9">
        <f t="shared" si="5"/>
        <v>3.7639824428528792</v>
      </c>
      <c r="R6" s="9">
        <f t="shared" si="6"/>
        <v>3.7146055276193155</v>
      </c>
    </row>
    <row r="7" spans="1:18" s="9" customFormat="1">
      <c r="B7" s="9" t="s">
        <v>9</v>
      </c>
      <c r="C7" s="9">
        <v>1315544</v>
      </c>
      <c r="D7" s="9">
        <v>11622</v>
      </c>
      <c r="E7" s="9">
        <v>33403</v>
      </c>
      <c r="F7" s="9">
        <v>1171</v>
      </c>
      <c r="G7" s="9">
        <v>4779</v>
      </c>
      <c r="H7" s="9">
        <v>149709</v>
      </c>
      <c r="I7" s="9">
        <v>67694</v>
      </c>
      <c r="J7" s="9">
        <v>91156</v>
      </c>
      <c r="L7" s="9">
        <f t="shared" si="0"/>
        <v>0.88343681397201457</v>
      </c>
      <c r="M7" s="9">
        <f t="shared" si="1"/>
        <v>2.5391016948121838</v>
      </c>
      <c r="N7" s="9">
        <f t="shared" si="2"/>
        <v>8.9012606191811144E-2</v>
      </c>
      <c r="O7" s="9">
        <f t="shared" si="3"/>
        <v>0.3632717719817809</v>
      </c>
      <c r="P7" s="9">
        <f t="shared" si="4"/>
        <v>11.380007054116016</v>
      </c>
      <c r="Q7" s="9">
        <f t="shared" si="5"/>
        <v>5.1457039825349815</v>
      </c>
      <c r="R7" s="9">
        <f t="shared" si="6"/>
        <v>6.9291487019818421</v>
      </c>
    </row>
    <row r="8" spans="1:18" s="9" customFormat="1">
      <c r="B8" s="9" t="s">
        <v>13</v>
      </c>
      <c r="C8" s="9">
        <v>1537178</v>
      </c>
      <c r="D8" s="9">
        <v>15229</v>
      </c>
      <c r="E8" s="9">
        <v>44955</v>
      </c>
      <c r="F8" s="9">
        <v>1549</v>
      </c>
      <c r="G8" s="9">
        <v>4461</v>
      </c>
      <c r="H8" s="9">
        <v>208369</v>
      </c>
      <c r="I8" s="9">
        <v>74127</v>
      </c>
      <c r="J8" s="9">
        <v>67822</v>
      </c>
      <c r="L8" s="9">
        <f t="shared" si="0"/>
        <v>0.99071155064670446</v>
      </c>
      <c r="M8" s="9">
        <f t="shared" si="1"/>
        <v>2.9245149228000922</v>
      </c>
      <c r="N8" s="9">
        <f t="shared" si="2"/>
        <v>0.1007690716364663</v>
      </c>
      <c r="O8" s="9">
        <f t="shared" si="3"/>
        <v>0.29020711980004921</v>
      </c>
      <c r="P8" s="9">
        <f t="shared" si="4"/>
        <v>13.55529418193599</v>
      </c>
      <c r="Q8" s="9">
        <f t="shared" si="5"/>
        <v>4.8222782267245563</v>
      </c>
      <c r="R8" s="9">
        <f t="shared" si="6"/>
        <v>4.4121110242275128</v>
      </c>
    </row>
    <row r="9" spans="1:18" s="9" customFormat="1">
      <c r="B9" s="9" t="s">
        <v>14</v>
      </c>
      <c r="C9" s="9">
        <v>1710147</v>
      </c>
      <c r="D9" s="9">
        <v>20855</v>
      </c>
      <c r="E9" s="9">
        <v>30415</v>
      </c>
      <c r="F9" s="9">
        <v>9343</v>
      </c>
      <c r="G9" s="9">
        <v>8178</v>
      </c>
      <c r="H9" s="9">
        <v>197938</v>
      </c>
      <c r="I9" s="9">
        <v>80450</v>
      </c>
      <c r="J9" s="9">
        <v>85355</v>
      </c>
      <c r="L9" s="9">
        <f t="shared" si="0"/>
        <v>1.2194858102841453</v>
      </c>
      <c r="M9" s="9">
        <f t="shared" si="1"/>
        <v>1.778502081984765</v>
      </c>
      <c r="N9" s="9">
        <f t="shared" si="2"/>
        <v>0.54632730402708074</v>
      </c>
      <c r="O9" s="9">
        <f t="shared" si="3"/>
        <v>0.47820450522674363</v>
      </c>
      <c r="P9" s="9">
        <f t="shared" si="4"/>
        <v>11.574326651451599</v>
      </c>
      <c r="Q9" s="9">
        <f t="shared" si="5"/>
        <v>4.7042739600747767</v>
      </c>
      <c r="R9" s="9">
        <f t="shared" si="6"/>
        <v>4.9910914091010889</v>
      </c>
    </row>
    <row r="10" spans="1:18" s="9" customFormat="1">
      <c r="B10" s="9" t="s">
        <v>37</v>
      </c>
      <c r="C10" s="9">
        <v>1195780</v>
      </c>
      <c r="D10" s="9">
        <v>4473</v>
      </c>
      <c r="E10" s="9">
        <v>17911</v>
      </c>
      <c r="F10" s="9">
        <v>9086</v>
      </c>
      <c r="G10" s="9">
        <v>3083</v>
      </c>
      <c r="H10" s="9">
        <v>89574</v>
      </c>
      <c r="I10" s="9">
        <v>30927</v>
      </c>
      <c r="J10" s="9">
        <v>45968</v>
      </c>
      <c r="L10" s="9">
        <f t="shared" si="0"/>
        <v>0.37406546354680625</v>
      </c>
      <c r="M10" s="9">
        <f t="shared" si="1"/>
        <v>1.497850775226212</v>
      </c>
      <c r="N10" s="9">
        <f t="shared" si="2"/>
        <v>0.75983876632825431</v>
      </c>
      <c r="O10" s="9">
        <f t="shared" si="3"/>
        <v>0.25782334543143387</v>
      </c>
      <c r="P10" s="9">
        <f t="shared" si="4"/>
        <v>7.490842797170048</v>
      </c>
      <c r="Q10" s="9">
        <f t="shared" si="5"/>
        <v>2.5863453143554835</v>
      </c>
      <c r="R10" s="9">
        <f t="shared" si="6"/>
        <v>3.8441853852715382</v>
      </c>
    </row>
    <row r="11" spans="1:18" s="9" customFormat="1">
      <c r="B11" s="9" t="s">
        <v>38</v>
      </c>
      <c r="C11" s="9">
        <v>1156850</v>
      </c>
      <c r="D11" s="9">
        <v>4580</v>
      </c>
      <c r="E11" s="9">
        <v>20489</v>
      </c>
      <c r="F11" s="9">
        <v>6837</v>
      </c>
      <c r="G11" s="9">
        <v>5727</v>
      </c>
      <c r="H11" s="9">
        <v>102400</v>
      </c>
      <c r="I11" s="9">
        <v>31391</v>
      </c>
      <c r="J11" s="9">
        <v>30726</v>
      </c>
      <c r="L11" s="9">
        <f t="shared" si="0"/>
        <v>0.39590266672429442</v>
      </c>
      <c r="M11" s="9">
        <f t="shared" si="1"/>
        <v>1.771102562994338</v>
      </c>
      <c r="N11" s="9">
        <f t="shared" si="2"/>
        <v>0.59100142628689978</v>
      </c>
      <c r="O11" s="9">
        <f t="shared" si="3"/>
        <v>0.49505121666594631</v>
      </c>
      <c r="P11" s="9">
        <f t="shared" si="4"/>
        <v>8.8516229416086798</v>
      </c>
      <c r="Q11" s="9">
        <f t="shared" si="5"/>
        <v>2.7134892164066211</v>
      </c>
      <c r="R11" s="9">
        <f t="shared" si="6"/>
        <v>2.6560055322643388</v>
      </c>
    </row>
    <row r="12" spans="1:18" s="9" customFormat="1">
      <c r="B12" s="9" t="s">
        <v>46</v>
      </c>
      <c r="C12" s="9">
        <v>1175620</v>
      </c>
      <c r="D12" s="9">
        <v>7043</v>
      </c>
      <c r="E12" s="9">
        <v>13407</v>
      </c>
      <c r="F12" s="9">
        <v>7342</v>
      </c>
      <c r="G12" s="9">
        <v>4265</v>
      </c>
      <c r="H12" s="9">
        <v>155155</v>
      </c>
      <c r="I12" s="9">
        <v>50935</v>
      </c>
      <c r="J12" s="9">
        <v>24271</v>
      </c>
      <c r="L12" s="9">
        <f t="shared" si="0"/>
        <v>0.59908814072574479</v>
      </c>
      <c r="M12" s="9">
        <f t="shared" si="1"/>
        <v>1.1404195233153569</v>
      </c>
      <c r="N12" s="9">
        <f t="shared" si="2"/>
        <v>0.62452152906551428</v>
      </c>
      <c r="O12" s="9">
        <f t="shared" si="3"/>
        <v>0.36278729521444003</v>
      </c>
      <c r="P12" s="9">
        <f t="shared" si="4"/>
        <v>13.197716949354382</v>
      </c>
      <c r="Q12" s="9">
        <f t="shared" si="5"/>
        <v>4.3326074752045729</v>
      </c>
      <c r="R12" s="9">
        <f t="shared" si="6"/>
        <v>2.0645276534934758</v>
      </c>
    </row>
    <row r="13" spans="1:18" s="9" customFormat="1">
      <c r="B13" s="9" t="s">
        <v>47</v>
      </c>
      <c r="C13" s="9">
        <v>1306610</v>
      </c>
      <c r="D13" s="9">
        <v>6370</v>
      </c>
      <c r="E13" s="9">
        <v>5821</v>
      </c>
      <c r="F13" s="9">
        <v>4414</v>
      </c>
      <c r="G13" s="9">
        <v>2565</v>
      </c>
      <c r="H13" s="9">
        <v>133360</v>
      </c>
      <c r="I13" s="9">
        <v>52554</v>
      </c>
      <c r="J13" s="9">
        <v>35725</v>
      </c>
      <c r="L13" s="9">
        <f t="shared" si="0"/>
        <v>0.48752114249852674</v>
      </c>
      <c r="M13" s="9">
        <f t="shared" si="1"/>
        <v>0.4455040142046976</v>
      </c>
      <c r="N13" s="9">
        <f t="shared" si="2"/>
        <v>0.33782077283963846</v>
      </c>
      <c r="O13" s="9">
        <f t="shared" si="3"/>
        <v>0.19630953383182434</v>
      </c>
      <c r="P13" s="9">
        <f t="shared" si="4"/>
        <v>10.206565080628497</v>
      </c>
      <c r="Q13" s="9">
        <f t="shared" si="5"/>
        <v>4.0221642265098234</v>
      </c>
      <c r="R13" s="9">
        <f t="shared" si="6"/>
        <v>2.7341746963516274</v>
      </c>
    </row>
    <row r="14" spans="1:18" s="9" customFormat="1">
      <c r="B14" s="9" t="s">
        <v>48</v>
      </c>
      <c r="C14" s="9">
        <v>1813620</v>
      </c>
      <c r="D14" s="9">
        <v>8906</v>
      </c>
      <c r="E14" s="9">
        <v>8066</v>
      </c>
      <c r="F14" s="9">
        <v>3832</v>
      </c>
      <c r="G14" s="9">
        <v>3379</v>
      </c>
      <c r="H14" s="9">
        <v>112906</v>
      </c>
      <c r="I14" s="9">
        <v>34960</v>
      </c>
      <c r="J14" s="9">
        <v>12663</v>
      </c>
      <c r="K14" s="8"/>
      <c r="L14" s="9">
        <f t="shared" si="0"/>
        <v>0.49106207474553659</v>
      </c>
      <c r="M14" s="9">
        <f t="shared" si="1"/>
        <v>0.44474586738125954</v>
      </c>
      <c r="N14" s="9">
        <f t="shared" si="2"/>
        <v>0.21129012692846352</v>
      </c>
      <c r="O14" s="9">
        <f t="shared" si="3"/>
        <v>0.18631245795701415</v>
      </c>
      <c r="P14" s="9">
        <f t="shared" si="4"/>
        <v>6.2254496531798278</v>
      </c>
      <c r="Q14" s="9">
        <f t="shared" si="5"/>
        <v>1.9276364398275272</v>
      </c>
      <c r="R14" s="9">
        <f t="shared" si="6"/>
        <v>0.69821682601647528</v>
      </c>
    </row>
    <row r="15" spans="1:18" s="3" customFormat="1">
      <c r="A15" s="3" t="s">
        <v>52</v>
      </c>
      <c r="K15" s="11"/>
    </row>
    <row r="16" spans="1:18" s="3" customFormat="1">
      <c r="B16" s="4" t="s">
        <v>2</v>
      </c>
      <c r="C16" s="3">
        <v>2284474</v>
      </c>
      <c r="D16" s="3">
        <v>13460</v>
      </c>
      <c r="E16" s="3">
        <v>33378</v>
      </c>
      <c r="F16" s="3">
        <v>362</v>
      </c>
      <c r="G16" s="3">
        <v>87</v>
      </c>
      <c r="H16" s="3">
        <v>24373</v>
      </c>
      <c r="I16" s="3">
        <v>2639</v>
      </c>
      <c r="J16" s="3">
        <v>858</v>
      </c>
      <c r="L16" s="3">
        <f t="shared" ref="L16:L27" si="7">D16/C16*100</f>
        <v>0.58919471178047989</v>
      </c>
      <c r="M16" s="3">
        <f t="shared" ref="M16:M27" si="8">E16/C16*100</f>
        <v>1.4610803187079389</v>
      </c>
      <c r="N16" s="3">
        <f t="shared" ref="N16:N27" si="9">F16/C16*100</f>
        <v>1.58460984891927E-2</v>
      </c>
      <c r="O16" s="3">
        <f t="shared" ref="O16:O27" si="10">G16/C16*100</f>
        <v>3.8083164877341564E-3</v>
      </c>
      <c r="P16" s="3">
        <f t="shared" ref="P16:P27" si="11">H16/C16*100</f>
        <v>1.0668976753510873</v>
      </c>
      <c r="Q16" s="3">
        <f t="shared" ref="Q16:Q27" si="12">I16/C16*100</f>
        <v>0.11551893346126942</v>
      </c>
      <c r="R16" s="3">
        <f t="shared" ref="R16:R27" si="13">J16/C16*100</f>
        <v>3.7557879844550647E-2</v>
      </c>
    </row>
    <row r="17" spans="1:18" s="3" customFormat="1">
      <c r="B17" s="4" t="s">
        <v>6</v>
      </c>
      <c r="C17" s="3">
        <v>1090094</v>
      </c>
      <c r="D17" s="3">
        <v>12512</v>
      </c>
      <c r="E17" s="3">
        <v>17560</v>
      </c>
      <c r="F17" s="3">
        <v>121</v>
      </c>
      <c r="G17" s="3">
        <v>50</v>
      </c>
      <c r="H17" s="3">
        <v>14294</v>
      </c>
      <c r="I17" s="3">
        <v>3645</v>
      </c>
      <c r="J17" s="3">
        <v>1419</v>
      </c>
      <c r="L17" s="3">
        <f t="shared" si="7"/>
        <v>1.1477909244523865</v>
      </c>
      <c r="M17" s="3">
        <f t="shared" si="8"/>
        <v>1.6108702552256962</v>
      </c>
      <c r="N17" s="3">
        <f t="shared" si="9"/>
        <v>1.1099960186919659E-2</v>
      </c>
      <c r="O17" s="3">
        <f t="shared" si="10"/>
        <v>4.5867604078180411E-3</v>
      </c>
      <c r="P17" s="3">
        <f t="shared" si="11"/>
        <v>1.3112630653870216</v>
      </c>
      <c r="Q17" s="3">
        <f t="shared" si="12"/>
        <v>0.33437483372993521</v>
      </c>
      <c r="R17" s="3">
        <f t="shared" si="13"/>
        <v>0.130172260373876</v>
      </c>
    </row>
    <row r="18" spans="1:18" s="3" customFormat="1">
      <c r="B18" s="3" t="s">
        <v>10</v>
      </c>
      <c r="C18" s="3">
        <v>2233955</v>
      </c>
      <c r="D18" s="3">
        <v>19072</v>
      </c>
      <c r="E18" s="3">
        <v>51655</v>
      </c>
      <c r="F18" s="3">
        <v>103</v>
      </c>
      <c r="G18" s="3">
        <v>76</v>
      </c>
      <c r="H18" s="3">
        <v>9127</v>
      </c>
      <c r="I18" s="3">
        <v>941</v>
      </c>
      <c r="J18" s="3">
        <v>110</v>
      </c>
      <c r="L18" s="3">
        <f t="shared" si="7"/>
        <v>0.85373250580248927</v>
      </c>
      <c r="M18" s="3">
        <f t="shared" si="8"/>
        <v>2.312266809313527</v>
      </c>
      <c r="N18" s="3">
        <f t="shared" si="9"/>
        <v>4.6106568843150373E-3</v>
      </c>
      <c r="O18" s="3">
        <f t="shared" si="10"/>
        <v>3.4020380893975033E-3</v>
      </c>
      <c r="P18" s="3">
        <f t="shared" si="11"/>
        <v>0.40855791634119754</v>
      </c>
      <c r="Q18" s="3">
        <f t="shared" si="12"/>
        <v>4.212260318582961E-2</v>
      </c>
      <c r="R18" s="3">
        <f t="shared" si="13"/>
        <v>4.9240024978121763E-3</v>
      </c>
    </row>
    <row r="19" spans="1:18" s="3" customFormat="1">
      <c r="B19" s="3" t="s">
        <v>15</v>
      </c>
      <c r="C19" s="3">
        <v>1511577</v>
      </c>
      <c r="D19" s="3">
        <v>19057</v>
      </c>
      <c r="E19" s="3">
        <v>68824</v>
      </c>
      <c r="F19" s="3">
        <v>243</v>
      </c>
      <c r="G19" s="3">
        <v>117</v>
      </c>
      <c r="H19" s="3">
        <v>17670</v>
      </c>
      <c r="I19" s="3">
        <v>9293</v>
      </c>
      <c r="J19" s="3">
        <v>4693</v>
      </c>
      <c r="L19" s="3">
        <f t="shared" si="7"/>
        <v>1.2607363038733719</v>
      </c>
      <c r="M19" s="3">
        <f t="shared" si="8"/>
        <v>4.5531256429543445</v>
      </c>
      <c r="N19" s="3">
        <f t="shared" si="9"/>
        <v>1.6075926003108011E-2</v>
      </c>
      <c r="O19" s="3">
        <f t="shared" si="10"/>
        <v>7.7402606681631174E-3</v>
      </c>
      <c r="P19" s="3">
        <f t="shared" si="11"/>
        <v>1.1689778291148911</v>
      </c>
      <c r="Q19" s="3">
        <f t="shared" si="12"/>
        <v>0.61478839648922945</v>
      </c>
      <c r="R19" s="3">
        <f t="shared" si="13"/>
        <v>0.31047045568965392</v>
      </c>
    </row>
    <row r="20" spans="1:18" s="3" customFormat="1">
      <c r="B20" s="3" t="s">
        <v>16</v>
      </c>
      <c r="C20" s="3">
        <v>2181648</v>
      </c>
      <c r="D20" s="3">
        <v>16457</v>
      </c>
      <c r="E20" s="3">
        <v>47143</v>
      </c>
      <c r="F20" s="3">
        <v>81</v>
      </c>
      <c r="G20" s="3">
        <v>69</v>
      </c>
      <c r="H20" s="3">
        <v>15577</v>
      </c>
      <c r="I20" s="3">
        <v>3660</v>
      </c>
      <c r="J20" s="3">
        <v>2405</v>
      </c>
      <c r="L20" s="3">
        <f t="shared" si="7"/>
        <v>0.75433800503105908</v>
      </c>
      <c r="M20" s="3">
        <f t="shared" si="8"/>
        <v>2.1608893827051845</v>
      </c>
      <c r="N20" s="3">
        <f t="shared" si="9"/>
        <v>3.712789597588612E-3</v>
      </c>
      <c r="O20" s="3">
        <f t="shared" si="10"/>
        <v>3.1627466942421509E-3</v>
      </c>
      <c r="P20" s="3">
        <f t="shared" si="11"/>
        <v>0.71400152545231854</v>
      </c>
      <c r="Q20" s="3">
        <f t="shared" si="12"/>
        <v>0.1677630855206706</v>
      </c>
      <c r="R20" s="3">
        <f t="shared" si="13"/>
        <v>0.11023776521235323</v>
      </c>
    </row>
    <row r="21" spans="1:18" s="3" customFormat="1">
      <c r="B21" s="3" t="s">
        <v>35</v>
      </c>
      <c r="C21" s="3">
        <v>2213390</v>
      </c>
      <c r="D21" s="3">
        <v>4773</v>
      </c>
      <c r="E21" s="3">
        <v>16373</v>
      </c>
      <c r="F21" s="3">
        <v>357</v>
      </c>
      <c r="G21" s="3">
        <v>33</v>
      </c>
      <c r="H21" s="3">
        <v>10414</v>
      </c>
      <c r="I21" s="3">
        <v>1272</v>
      </c>
      <c r="J21" s="3">
        <v>504</v>
      </c>
      <c r="L21" s="3">
        <f t="shared" si="7"/>
        <v>0.21564206940484959</v>
      </c>
      <c r="M21" s="3">
        <f t="shared" si="8"/>
        <v>0.73972503716019322</v>
      </c>
      <c r="N21" s="3">
        <f t="shared" si="9"/>
        <v>1.6129105128332558E-2</v>
      </c>
      <c r="O21" s="3">
        <f t="shared" si="10"/>
        <v>1.490925684131581E-3</v>
      </c>
      <c r="P21" s="3">
        <f t="shared" si="11"/>
        <v>0.47050000225897831</v>
      </c>
      <c r="Q21" s="3">
        <f t="shared" si="12"/>
        <v>5.7468408188344575E-2</v>
      </c>
      <c r="R21" s="3">
        <f t="shared" si="13"/>
        <v>2.2770501357645963E-2</v>
      </c>
    </row>
    <row r="22" spans="1:18" s="3" customFormat="1">
      <c r="B22" s="3" t="s">
        <v>39</v>
      </c>
      <c r="C22" s="3">
        <v>1348960</v>
      </c>
      <c r="D22" s="3">
        <v>3790</v>
      </c>
      <c r="E22" s="3">
        <v>7451</v>
      </c>
      <c r="F22" s="3">
        <v>123</v>
      </c>
      <c r="G22" s="3">
        <v>48</v>
      </c>
      <c r="H22" s="3">
        <v>3612</v>
      </c>
      <c r="I22" s="3">
        <v>1536</v>
      </c>
      <c r="J22" s="3">
        <v>481</v>
      </c>
      <c r="L22" s="3">
        <f t="shared" si="7"/>
        <v>0.28095718182896456</v>
      </c>
      <c r="M22" s="3">
        <f t="shared" si="8"/>
        <v>0.55235144111018863</v>
      </c>
      <c r="N22" s="3">
        <f t="shared" si="9"/>
        <v>9.1181354524967392E-3</v>
      </c>
      <c r="O22" s="3">
        <f t="shared" si="10"/>
        <v>3.5582967619499466E-3</v>
      </c>
      <c r="P22" s="3">
        <f t="shared" si="11"/>
        <v>0.26776183133673348</v>
      </c>
      <c r="Q22" s="3">
        <f t="shared" si="12"/>
        <v>0.11386549638239829</v>
      </c>
      <c r="R22" s="3">
        <f t="shared" si="13"/>
        <v>3.5657098802040092E-2</v>
      </c>
    </row>
    <row r="23" spans="1:18" s="3" customFormat="1">
      <c r="B23" s="3" t="s">
        <v>40</v>
      </c>
      <c r="C23" s="3">
        <v>1235530</v>
      </c>
      <c r="D23" s="3">
        <v>8710</v>
      </c>
      <c r="E23" s="3">
        <v>14474</v>
      </c>
      <c r="F23" s="3">
        <v>324</v>
      </c>
      <c r="G23" s="3">
        <v>67</v>
      </c>
      <c r="H23" s="3">
        <v>4308</v>
      </c>
      <c r="I23" s="3">
        <v>2750</v>
      </c>
      <c r="J23" s="3">
        <v>1616</v>
      </c>
      <c r="L23" s="3">
        <f t="shared" si="7"/>
        <v>0.70496062418557215</v>
      </c>
      <c r="M23" s="3">
        <f t="shared" si="8"/>
        <v>1.1714810648061966</v>
      </c>
      <c r="N23" s="3">
        <f t="shared" si="9"/>
        <v>2.6223563976593044E-2</v>
      </c>
      <c r="O23" s="3">
        <f t="shared" si="10"/>
        <v>5.4227740321967088E-3</v>
      </c>
      <c r="P23" s="3">
        <f t="shared" si="11"/>
        <v>0.34867627657766298</v>
      </c>
      <c r="Q23" s="3">
        <f t="shared" si="12"/>
        <v>0.22257654609762612</v>
      </c>
      <c r="R23" s="3">
        <f t="shared" si="13"/>
        <v>0.13079407217955047</v>
      </c>
    </row>
    <row r="24" spans="1:18" s="3" customFormat="1">
      <c r="B24" s="3" t="s">
        <v>41</v>
      </c>
      <c r="C24" s="3">
        <v>1370710</v>
      </c>
      <c r="D24" s="3">
        <v>10173</v>
      </c>
      <c r="E24" s="3">
        <v>22208</v>
      </c>
      <c r="F24" s="3">
        <v>258</v>
      </c>
      <c r="G24" s="3">
        <v>110</v>
      </c>
      <c r="H24" s="3">
        <v>2177</v>
      </c>
      <c r="I24" s="3">
        <v>24</v>
      </c>
      <c r="J24" s="3">
        <v>2</v>
      </c>
      <c r="L24" s="3">
        <f t="shared" si="7"/>
        <v>0.74217011621714291</v>
      </c>
      <c r="M24" s="3">
        <f t="shared" si="8"/>
        <v>1.6201822413201918</v>
      </c>
      <c r="N24" s="3">
        <f t="shared" si="9"/>
        <v>1.8822362133492861E-2</v>
      </c>
      <c r="O24" s="3">
        <f t="shared" si="10"/>
        <v>8.0250381189310646E-3</v>
      </c>
      <c r="P24" s="3">
        <f t="shared" si="11"/>
        <v>0.15882279986284478</v>
      </c>
      <c r="Q24" s="3">
        <f t="shared" si="12"/>
        <v>1.7509174077667779E-3</v>
      </c>
      <c r="R24" s="3">
        <f t="shared" si="13"/>
        <v>1.4590978398056482E-4</v>
      </c>
    </row>
    <row r="25" spans="1:18" s="3" customFormat="1">
      <c r="B25" s="3" t="s">
        <v>42</v>
      </c>
      <c r="C25" s="3">
        <v>1419060</v>
      </c>
      <c r="D25" s="3">
        <v>9397</v>
      </c>
      <c r="E25" s="3">
        <v>24075</v>
      </c>
      <c r="F25" s="3">
        <v>445</v>
      </c>
      <c r="G25" s="3">
        <v>51</v>
      </c>
      <c r="H25" s="3">
        <v>9029</v>
      </c>
      <c r="I25" s="3">
        <v>3631</v>
      </c>
      <c r="J25" s="3">
        <v>2195</v>
      </c>
      <c r="L25" s="3">
        <f t="shared" si="7"/>
        <v>0.66219892041210382</v>
      </c>
      <c r="M25" s="3">
        <f t="shared" si="8"/>
        <v>1.6965456006088537</v>
      </c>
      <c r="N25" s="3">
        <f t="shared" si="9"/>
        <v>3.1358786802531256E-2</v>
      </c>
      <c r="O25" s="3">
        <f t="shared" si="10"/>
        <v>3.5939283751215594E-3</v>
      </c>
      <c r="P25" s="3">
        <f t="shared" si="11"/>
        <v>0.63626626076416781</v>
      </c>
      <c r="Q25" s="3">
        <f t="shared" si="12"/>
        <v>0.25587360647188984</v>
      </c>
      <c r="R25" s="3">
        <f t="shared" si="13"/>
        <v>0.15467985849787888</v>
      </c>
    </row>
    <row r="26" spans="1:18" s="3" customFormat="1">
      <c r="B26" s="3" t="s">
        <v>43</v>
      </c>
      <c r="C26" s="3">
        <v>1419490</v>
      </c>
      <c r="D26" s="3">
        <v>9339</v>
      </c>
      <c r="E26" s="3">
        <v>25436</v>
      </c>
      <c r="F26" s="3">
        <v>109</v>
      </c>
      <c r="G26" s="3">
        <v>32</v>
      </c>
      <c r="H26" s="3">
        <v>9477</v>
      </c>
      <c r="I26" s="3">
        <v>1184</v>
      </c>
      <c r="J26" s="3">
        <v>327</v>
      </c>
      <c r="L26" s="3">
        <f t="shared" si="7"/>
        <v>0.65791234880133009</v>
      </c>
      <c r="M26" s="3">
        <f t="shared" si="8"/>
        <v>1.7919111793672375</v>
      </c>
      <c r="N26" s="3">
        <f t="shared" si="9"/>
        <v>7.6788142220093137E-3</v>
      </c>
      <c r="O26" s="3">
        <f t="shared" si="10"/>
        <v>2.2543307807733762E-3</v>
      </c>
      <c r="P26" s="3">
        <f t="shared" si="11"/>
        <v>0.66763415029341522</v>
      </c>
      <c r="Q26" s="3">
        <f t="shared" si="12"/>
        <v>8.3410238888614929E-2</v>
      </c>
      <c r="R26" s="3">
        <f t="shared" si="13"/>
        <v>2.3036442666027938E-2</v>
      </c>
    </row>
    <row r="27" spans="1:18" s="3" customFormat="1">
      <c r="B27" s="3" t="s">
        <v>44</v>
      </c>
      <c r="C27" s="3">
        <v>1156170</v>
      </c>
      <c r="D27" s="3">
        <v>9140</v>
      </c>
      <c r="E27" s="3">
        <v>20183</v>
      </c>
      <c r="F27" s="3">
        <v>126</v>
      </c>
      <c r="G27" s="3">
        <v>38</v>
      </c>
      <c r="H27" s="3">
        <v>3950</v>
      </c>
      <c r="I27" s="3">
        <v>408</v>
      </c>
      <c r="J27" s="3">
        <v>79</v>
      </c>
      <c r="L27" s="3">
        <f t="shared" si="7"/>
        <v>0.7905411833899858</v>
      </c>
      <c r="M27" s="3">
        <f t="shared" si="8"/>
        <v>1.7456775387702499</v>
      </c>
      <c r="N27" s="3">
        <f t="shared" si="9"/>
        <v>1.0898051324632192E-2</v>
      </c>
      <c r="O27" s="3">
        <f t="shared" si="10"/>
        <v>3.28671389155574E-3</v>
      </c>
      <c r="P27" s="3">
        <f t="shared" si="11"/>
        <v>0.34164525978013616</v>
      </c>
      <c r="Q27" s="3">
        <f t="shared" si="12"/>
        <v>3.5288928098809E-2</v>
      </c>
      <c r="R27" s="3">
        <f t="shared" si="13"/>
        <v>6.8329051956027226E-3</v>
      </c>
    </row>
    <row r="28" spans="1:18" s="5" customFormat="1">
      <c r="A28" s="5" t="s">
        <v>53</v>
      </c>
    </row>
    <row r="29" spans="1:18" s="5" customFormat="1">
      <c r="B29" s="6" t="s">
        <v>5</v>
      </c>
      <c r="C29" s="5">
        <v>3519395</v>
      </c>
      <c r="D29" s="5">
        <v>5269</v>
      </c>
      <c r="E29" s="5">
        <v>9289</v>
      </c>
      <c r="F29" s="5">
        <v>1834</v>
      </c>
      <c r="G29" s="5">
        <v>754</v>
      </c>
      <c r="H29" s="5">
        <v>96295</v>
      </c>
      <c r="I29" s="5">
        <v>101697</v>
      </c>
      <c r="J29" s="5">
        <v>102780</v>
      </c>
      <c r="L29" s="5">
        <f t="shared" ref="L29:L36" si="14">D29/C29*100</f>
        <v>0.14971323196174344</v>
      </c>
      <c r="M29" s="5">
        <f t="shared" ref="M29:M36" si="15">E29/C29*100</f>
        <v>0.2639374096968371</v>
      </c>
      <c r="N29" s="5">
        <f t="shared" ref="N29:N36" si="16">F29/C29*100</f>
        <v>5.2111229344816365E-2</v>
      </c>
      <c r="O29" s="5">
        <f t="shared" ref="O29:O36" si="17">G29/C29*100</f>
        <v>2.1424136818970305E-2</v>
      </c>
      <c r="P29" s="5">
        <f t="shared" ref="P29:P36" si="18">H29/C29*100</f>
        <v>2.7361236803484688</v>
      </c>
      <c r="Q29" s="5">
        <f t="shared" ref="Q29:Q36" si="19">I29/C29*100</f>
        <v>2.8896159709268212</v>
      </c>
      <c r="R29" s="5">
        <f t="shared" ref="R29:R36" si="20">J29/C29*100</f>
        <v>2.92038830537635</v>
      </c>
    </row>
    <row r="30" spans="1:18" s="5" customFormat="1">
      <c r="B30" s="5" t="s">
        <v>11</v>
      </c>
      <c r="C30" s="5">
        <v>1920118</v>
      </c>
      <c r="D30" s="5">
        <v>23965</v>
      </c>
      <c r="E30" s="5">
        <v>43805</v>
      </c>
      <c r="F30" s="5">
        <v>3572</v>
      </c>
      <c r="G30" s="5">
        <v>1705</v>
      </c>
      <c r="H30" s="5">
        <v>74325</v>
      </c>
      <c r="I30" s="5">
        <v>64697</v>
      </c>
      <c r="J30" s="5">
        <v>46765</v>
      </c>
      <c r="L30" s="5">
        <f t="shared" si="14"/>
        <v>1.2481003771643202</v>
      </c>
      <c r="M30" s="5">
        <f t="shared" si="15"/>
        <v>2.2813702074560003</v>
      </c>
      <c r="N30" s="5">
        <f t="shared" si="16"/>
        <v>0.18603023355856255</v>
      </c>
      <c r="O30" s="5">
        <f t="shared" si="17"/>
        <v>8.8796626040691246E-2</v>
      </c>
      <c r="P30" s="5">
        <f t="shared" si="18"/>
        <v>3.8708558536506614</v>
      </c>
      <c r="Q30" s="5">
        <f t="shared" si="19"/>
        <v>3.3694283372167755</v>
      </c>
      <c r="R30" s="5">
        <f t="shared" si="20"/>
        <v>2.4355273998785494</v>
      </c>
    </row>
    <row r="31" spans="1:18" s="5" customFormat="1">
      <c r="B31" s="5" t="s">
        <v>31</v>
      </c>
      <c r="C31" s="5">
        <v>1899452</v>
      </c>
      <c r="D31" s="5">
        <v>17418</v>
      </c>
      <c r="E31" s="5">
        <v>77143</v>
      </c>
      <c r="F31" s="5">
        <v>1063</v>
      </c>
      <c r="G31" s="5">
        <v>670</v>
      </c>
      <c r="H31" s="5">
        <v>66368</v>
      </c>
      <c r="I31" s="5">
        <v>16119</v>
      </c>
      <c r="J31" s="5">
        <v>2936</v>
      </c>
      <c r="L31" s="5">
        <f t="shared" si="14"/>
        <v>0.91700132459256667</v>
      </c>
      <c r="M31" s="5">
        <f t="shared" si="15"/>
        <v>4.0613292675992865</v>
      </c>
      <c r="N31" s="5">
        <f t="shared" si="16"/>
        <v>5.5963509475364479E-2</v>
      </c>
      <c r="O31" s="5">
        <f t="shared" si="17"/>
        <v>3.527333146612812E-2</v>
      </c>
      <c r="P31" s="5">
        <f t="shared" si="18"/>
        <v>3.4940603921552111</v>
      </c>
      <c r="Q31" s="5">
        <f t="shared" si="19"/>
        <v>0.84861317895898392</v>
      </c>
      <c r="R31" s="5">
        <f t="shared" si="20"/>
        <v>0.15457089729037637</v>
      </c>
    </row>
    <row r="32" spans="1:18" s="5" customFormat="1">
      <c r="B32" s="5" t="s">
        <v>12</v>
      </c>
      <c r="C32" s="5">
        <v>1170180</v>
      </c>
      <c r="D32" s="5">
        <v>8889</v>
      </c>
      <c r="E32" s="5">
        <v>13847</v>
      </c>
      <c r="F32" s="5">
        <v>988</v>
      </c>
      <c r="G32" s="5">
        <v>452</v>
      </c>
      <c r="H32" s="5">
        <v>18389</v>
      </c>
      <c r="I32" s="5">
        <v>24238</v>
      </c>
      <c r="J32" s="5">
        <v>41178</v>
      </c>
      <c r="L32" s="5">
        <f t="shared" si="14"/>
        <v>0.75962672409372922</v>
      </c>
      <c r="M32" s="5">
        <f t="shared" si="15"/>
        <v>1.183322223931361</v>
      </c>
      <c r="N32" s="5">
        <f t="shared" si="16"/>
        <v>8.4431454989830623E-2</v>
      </c>
      <c r="O32" s="5">
        <f t="shared" si="17"/>
        <v>3.8626536088465023E-2</v>
      </c>
      <c r="P32" s="5">
        <f t="shared" si="18"/>
        <v>1.571467637457485</v>
      </c>
      <c r="Q32" s="5">
        <f t="shared" si="19"/>
        <v>2.0713052692748124</v>
      </c>
      <c r="R32" s="5">
        <f t="shared" si="20"/>
        <v>3.5189458032097622</v>
      </c>
    </row>
    <row r="33" spans="2:18" s="5" customFormat="1">
      <c r="B33" s="5" t="s">
        <v>34</v>
      </c>
      <c r="C33" s="5">
        <v>1417840</v>
      </c>
      <c r="D33" s="5">
        <v>27500</v>
      </c>
      <c r="E33" s="5">
        <v>40328</v>
      </c>
      <c r="F33" s="5">
        <v>493</v>
      </c>
      <c r="G33" s="5">
        <v>352</v>
      </c>
      <c r="H33" s="5">
        <v>18955</v>
      </c>
      <c r="I33" s="5">
        <v>5724</v>
      </c>
      <c r="J33" s="5">
        <v>2916</v>
      </c>
      <c r="L33" s="5">
        <f t="shared" si="14"/>
        <v>1.9395700502172319</v>
      </c>
      <c r="M33" s="5">
        <f t="shared" si="15"/>
        <v>2.8443265812785645</v>
      </c>
      <c r="N33" s="5">
        <f t="shared" si="16"/>
        <v>3.4771201263894373E-2</v>
      </c>
      <c r="O33" s="5">
        <f t="shared" si="17"/>
        <v>2.4826496642780568E-2</v>
      </c>
      <c r="P33" s="5">
        <f t="shared" si="18"/>
        <v>1.336892738249732</v>
      </c>
      <c r="Q33" s="5">
        <f t="shared" si="19"/>
        <v>0.40371268972521585</v>
      </c>
      <c r="R33" s="5">
        <f t="shared" si="20"/>
        <v>0.20566495514303448</v>
      </c>
    </row>
    <row r="34" spans="2:18" s="5" customFormat="1">
      <c r="B34" s="5" t="s">
        <v>36</v>
      </c>
      <c r="C34" s="5">
        <v>2547090</v>
      </c>
      <c r="D34" s="5">
        <v>3356</v>
      </c>
      <c r="E34" s="5">
        <v>30159</v>
      </c>
      <c r="F34" s="5">
        <v>846</v>
      </c>
      <c r="G34" s="5">
        <v>1107</v>
      </c>
      <c r="H34" s="5">
        <v>22354</v>
      </c>
      <c r="I34" s="5">
        <v>15101</v>
      </c>
      <c r="J34" s="5">
        <v>109059</v>
      </c>
      <c r="L34" s="5">
        <f t="shared" si="14"/>
        <v>0.13175820249775233</v>
      </c>
      <c r="M34" s="5">
        <f t="shared" si="15"/>
        <v>1.1840571004558142</v>
      </c>
      <c r="N34" s="5">
        <f t="shared" si="16"/>
        <v>3.3214374050386915E-2</v>
      </c>
      <c r="O34" s="5">
        <f t="shared" si="17"/>
        <v>4.3461361789336066E-2</v>
      </c>
      <c r="P34" s="5">
        <f t="shared" si="18"/>
        <v>0.87762898052287119</v>
      </c>
      <c r="Q34" s="5">
        <f t="shared" si="19"/>
        <v>0.59287265075046425</v>
      </c>
      <c r="R34" s="5">
        <f t="shared" si="20"/>
        <v>4.2817097157933173</v>
      </c>
    </row>
    <row r="35" spans="2:18" s="5" customFormat="1">
      <c r="B35" s="5" t="s">
        <v>49</v>
      </c>
      <c r="C35" s="5">
        <v>1567880</v>
      </c>
      <c r="D35" s="5">
        <v>7306</v>
      </c>
      <c r="E35" s="5">
        <v>9721</v>
      </c>
      <c r="F35" s="5">
        <v>1184</v>
      </c>
      <c r="G35" s="5">
        <v>516</v>
      </c>
      <c r="H35" s="5">
        <v>37248</v>
      </c>
      <c r="I35" s="5">
        <v>42019</v>
      </c>
      <c r="J35" s="5">
        <v>52677</v>
      </c>
      <c r="L35" s="5">
        <f t="shared" si="14"/>
        <v>0.46597953925045282</v>
      </c>
      <c r="M35" s="5">
        <f t="shared" si="15"/>
        <v>0.62000918437635533</v>
      </c>
      <c r="N35" s="5">
        <f t="shared" si="16"/>
        <v>7.551598336607393E-2</v>
      </c>
      <c r="O35" s="5">
        <f t="shared" si="17"/>
        <v>3.2910681939944383E-2</v>
      </c>
      <c r="P35" s="5">
        <f t="shared" si="18"/>
        <v>2.3756920172462177</v>
      </c>
      <c r="Q35" s="5">
        <f t="shared" si="19"/>
        <v>2.6799882644079904</v>
      </c>
      <c r="R35" s="5">
        <f t="shared" si="20"/>
        <v>3.3597596754853685</v>
      </c>
    </row>
    <row r="36" spans="2:18" s="5" customFormat="1">
      <c r="B36" s="5" t="s">
        <v>50</v>
      </c>
      <c r="C36" s="5">
        <v>1505040</v>
      </c>
      <c r="D36" s="5">
        <v>10240</v>
      </c>
      <c r="E36" s="5">
        <v>21511</v>
      </c>
      <c r="F36" s="5">
        <v>2040</v>
      </c>
      <c r="G36" s="5">
        <v>1174</v>
      </c>
      <c r="H36" s="5">
        <v>32396</v>
      </c>
      <c r="I36" s="5">
        <v>30884</v>
      </c>
      <c r="J36" s="5">
        <v>75320</v>
      </c>
      <c r="L36" s="5">
        <f t="shared" si="14"/>
        <v>0.6803805878913517</v>
      </c>
      <c r="M36" s="5">
        <f t="shared" si="15"/>
        <v>1.4292643384893424</v>
      </c>
      <c r="N36" s="5">
        <f t="shared" si="16"/>
        <v>0.13554457024398023</v>
      </c>
      <c r="O36" s="5">
        <f t="shared" si="17"/>
        <v>7.8004571307074902E-2</v>
      </c>
      <c r="P36" s="5">
        <f t="shared" si="18"/>
        <v>2.1525009302078351</v>
      </c>
      <c r="Q36" s="5">
        <f t="shared" si="19"/>
        <v>2.0520384840270025</v>
      </c>
      <c r="R36" s="5">
        <f t="shared" si="20"/>
        <v>5.0045181523414657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CF17-E4B6-4948-A642-1600D4BE874F}">
  <dimension ref="A1:R23"/>
  <sheetViews>
    <sheetView zoomScaleNormal="100" workbookViewId="0">
      <pane xSplit="2" topLeftCell="C1" activePane="topRight" state="frozen"/>
      <selection pane="topRight" activeCell="F28" sqref="F28"/>
    </sheetView>
  </sheetViews>
  <sheetFormatPr defaultRowHeight="14.25"/>
  <cols>
    <col min="2" max="2" width="39.1328125" customWidth="1"/>
    <col min="4" max="10" width="9.3984375" customWidth="1"/>
    <col min="12" max="17" width="9.3984375" customWidth="1"/>
    <col min="19" max="19" width="18.265625" customWidth="1"/>
    <col min="21" max="21" width="12.265625" bestFit="1" customWidth="1"/>
  </cols>
  <sheetData>
    <row r="1" spans="1:18" s="1" customFormat="1">
      <c r="A1" s="1" t="s">
        <v>51</v>
      </c>
      <c r="B1" s="2" t="s">
        <v>63</v>
      </c>
      <c r="C1" s="7" t="s">
        <v>32</v>
      </c>
      <c r="K1" s="1" t="s">
        <v>8</v>
      </c>
    </row>
    <row r="2" spans="1:18" s="8" customFormat="1">
      <c r="A2" s="8" t="s">
        <v>84</v>
      </c>
      <c r="C2" s="8" t="s">
        <v>0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</row>
    <row r="3" spans="1:18" s="9" customFormat="1">
      <c r="B3" s="9" t="s">
        <v>61</v>
      </c>
      <c r="C3" s="9">
        <v>1406620</v>
      </c>
      <c r="D3" s="9">
        <v>18503</v>
      </c>
      <c r="E3" s="9">
        <v>7972</v>
      </c>
      <c r="F3" s="9">
        <v>3280</v>
      </c>
      <c r="G3" s="9">
        <v>5190</v>
      </c>
      <c r="H3" s="9">
        <v>94072</v>
      </c>
      <c r="I3" s="9">
        <v>40150</v>
      </c>
      <c r="J3" s="9">
        <v>49372</v>
      </c>
      <c r="L3" s="9">
        <f t="shared" ref="L3:L11" si="0">D3/C3*100</f>
        <v>1.315422786537942</v>
      </c>
      <c r="M3" s="9">
        <f t="shared" ref="M3:M11" si="1">E3/C3*100</f>
        <v>0.5667486599081486</v>
      </c>
      <c r="N3" s="9">
        <f t="shared" ref="N3:N11" si="2">F3/C3*100</f>
        <v>0.23318309138217858</v>
      </c>
      <c r="O3" s="9">
        <f t="shared" ref="O3:O11" si="3">G3/C3*100</f>
        <v>0.36896958666875207</v>
      </c>
      <c r="P3" s="9">
        <f t="shared" ref="P3:P11" si="4">H3/C3*100</f>
        <v>6.6878048086903359</v>
      </c>
      <c r="Q3" s="9">
        <f t="shared" ref="Q3:Q11" si="5">I3/C3*100</f>
        <v>2.8543600972544114</v>
      </c>
      <c r="R3" s="9">
        <f t="shared" ref="R3:R11" si="6">J3/C3*100</f>
        <v>3.509974264549061</v>
      </c>
    </row>
    <row r="4" spans="1:18" s="9" customFormat="1">
      <c r="B4" s="9" t="s">
        <v>62</v>
      </c>
      <c r="C4" s="9">
        <v>1400670</v>
      </c>
      <c r="D4" s="9">
        <v>6088</v>
      </c>
      <c r="E4" s="9">
        <v>25827</v>
      </c>
      <c r="F4" s="9">
        <v>3107</v>
      </c>
      <c r="G4" s="9">
        <v>2636</v>
      </c>
      <c r="H4" s="9">
        <v>340885</v>
      </c>
      <c r="I4" s="9">
        <v>113212</v>
      </c>
      <c r="J4" s="9">
        <v>32979</v>
      </c>
      <c r="L4" s="9">
        <f t="shared" si="0"/>
        <v>0.43464913220101808</v>
      </c>
      <c r="M4" s="9">
        <f t="shared" si="1"/>
        <v>1.8439032748613162</v>
      </c>
      <c r="N4" s="9">
        <f t="shared" si="2"/>
        <v>0.22182241355922522</v>
      </c>
      <c r="O4" s="9">
        <f t="shared" si="3"/>
        <v>0.18819564922501375</v>
      </c>
      <c r="P4" s="9">
        <f t="shared" si="4"/>
        <v>24.337281443880428</v>
      </c>
      <c r="Q4" s="9">
        <f t="shared" si="5"/>
        <v>8.0827032777170924</v>
      </c>
      <c r="R4" s="9">
        <f t="shared" si="6"/>
        <v>2.3545160530317633</v>
      </c>
    </row>
    <row r="5" spans="1:18" s="9" customFormat="1">
      <c r="B5" s="9" t="s">
        <v>60</v>
      </c>
      <c r="C5" s="9">
        <v>1327420</v>
      </c>
      <c r="D5" s="9">
        <v>7712</v>
      </c>
      <c r="E5" s="9">
        <v>9839</v>
      </c>
      <c r="F5" s="9">
        <v>4785</v>
      </c>
      <c r="G5" s="9">
        <v>2106</v>
      </c>
      <c r="H5" s="9">
        <v>98145</v>
      </c>
      <c r="I5" s="9">
        <v>45434</v>
      </c>
      <c r="J5" s="9">
        <v>97642</v>
      </c>
      <c r="L5" s="9">
        <f t="shared" si="0"/>
        <v>0.58097663136008193</v>
      </c>
      <c r="M5" s="9">
        <f t="shared" si="1"/>
        <v>0.74121227644603815</v>
      </c>
      <c r="N5" s="9">
        <f t="shared" si="2"/>
        <v>0.36047370086332886</v>
      </c>
      <c r="O5" s="9">
        <f t="shared" si="3"/>
        <v>0.15865362884392278</v>
      </c>
      <c r="P5" s="9">
        <f t="shared" si="4"/>
        <v>7.3936659083033245</v>
      </c>
      <c r="Q5" s="9">
        <f t="shared" si="5"/>
        <v>3.4227298066926823</v>
      </c>
      <c r="R5" s="9">
        <f t="shared" si="6"/>
        <v>7.3557728526012864</v>
      </c>
    </row>
    <row r="6" spans="1:18" s="9" customFormat="1">
      <c r="B6" s="9" t="s">
        <v>54</v>
      </c>
      <c r="C6" s="9">
        <v>3800540</v>
      </c>
      <c r="D6" s="9">
        <v>1482</v>
      </c>
      <c r="E6" s="9">
        <v>55204</v>
      </c>
      <c r="F6" s="9">
        <v>10320</v>
      </c>
      <c r="G6" s="9">
        <v>9770</v>
      </c>
      <c r="H6" s="9">
        <v>343169</v>
      </c>
      <c r="I6" s="9">
        <v>151733</v>
      </c>
      <c r="J6" s="9">
        <v>239599</v>
      </c>
      <c r="L6" s="9">
        <f t="shared" si="0"/>
        <v>3.8994458682187268E-2</v>
      </c>
      <c r="M6" s="9">
        <f t="shared" si="1"/>
        <v>1.4525304298862793</v>
      </c>
      <c r="N6" s="9">
        <f t="shared" si="2"/>
        <v>0.2715403600540976</v>
      </c>
      <c r="O6" s="9">
        <f t="shared" si="3"/>
        <v>0.25706873233803618</v>
      </c>
      <c r="P6" s="9">
        <f t="shared" si="4"/>
        <v>9.0294800212601363</v>
      </c>
      <c r="Q6" s="9">
        <f t="shared" si="5"/>
        <v>3.9924063422566269</v>
      </c>
      <c r="R6" s="9">
        <f t="shared" si="6"/>
        <v>6.3043409620738107</v>
      </c>
    </row>
    <row r="7" spans="1:18" s="9" customFormat="1">
      <c r="B7" s="9" t="s">
        <v>55</v>
      </c>
      <c r="C7" s="9">
        <v>1961755</v>
      </c>
      <c r="D7" s="9">
        <v>545</v>
      </c>
      <c r="E7" s="9">
        <v>28631</v>
      </c>
      <c r="F7" s="9">
        <v>1647</v>
      </c>
      <c r="G7" s="9">
        <v>2755</v>
      </c>
      <c r="H7" s="9">
        <v>155348</v>
      </c>
      <c r="I7" s="9">
        <v>86453</v>
      </c>
      <c r="J7" s="9">
        <v>138432</v>
      </c>
      <c r="L7" s="9">
        <f t="shared" si="0"/>
        <v>2.7781246893725263E-2</v>
      </c>
      <c r="M7" s="9">
        <f t="shared" si="1"/>
        <v>1.4594584950720146</v>
      </c>
      <c r="N7" s="9">
        <f t="shared" si="2"/>
        <v>8.3955437860487175E-2</v>
      </c>
      <c r="O7" s="9">
        <f t="shared" si="3"/>
        <v>0.14043547741690476</v>
      </c>
      <c r="P7" s="9">
        <f t="shared" si="4"/>
        <v>7.9188277843053791</v>
      </c>
      <c r="Q7" s="9">
        <f t="shared" si="5"/>
        <v>4.4069213535839085</v>
      </c>
      <c r="R7" s="9">
        <f t="shared" si="6"/>
        <v>7.056538660536102</v>
      </c>
    </row>
    <row r="8" spans="1:18" s="9" customFormat="1">
      <c r="B8" s="9" t="s">
        <v>56</v>
      </c>
      <c r="C8" s="9">
        <v>1772926</v>
      </c>
      <c r="D8" s="9">
        <v>483</v>
      </c>
      <c r="E8" s="9">
        <v>29827</v>
      </c>
      <c r="F8" s="9">
        <v>1587</v>
      </c>
      <c r="G8" s="9">
        <v>2373</v>
      </c>
      <c r="H8" s="9">
        <v>138181</v>
      </c>
      <c r="I8" s="9">
        <v>75680</v>
      </c>
      <c r="J8" s="9">
        <v>138383</v>
      </c>
      <c r="L8" s="9">
        <f t="shared" si="0"/>
        <v>2.7243099824809384E-2</v>
      </c>
      <c r="M8" s="9">
        <f t="shared" si="1"/>
        <v>1.6823601210654027</v>
      </c>
      <c r="N8" s="9">
        <f t="shared" si="2"/>
        <v>8.9513042281516547E-2</v>
      </c>
      <c r="O8" s="9">
        <f t="shared" si="3"/>
        <v>0.13384653392188958</v>
      </c>
      <c r="P8" s="9">
        <f t="shared" si="4"/>
        <v>7.7939519190310254</v>
      </c>
      <c r="Q8" s="9">
        <f t="shared" si="5"/>
        <v>4.2686496785539836</v>
      </c>
      <c r="R8" s="9">
        <f t="shared" si="6"/>
        <v>7.8053455135747356</v>
      </c>
    </row>
    <row r="9" spans="1:18" s="9" customFormat="1">
      <c r="B9" s="9" t="s">
        <v>57</v>
      </c>
      <c r="C9" s="9">
        <v>1730323</v>
      </c>
      <c r="D9" s="9">
        <v>565</v>
      </c>
      <c r="E9" s="9">
        <v>11070</v>
      </c>
      <c r="F9" s="9">
        <v>6266</v>
      </c>
      <c r="G9" s="9">
        <v>3823</v>
      </c>
      <c r="H9" s="9">
        <v>184495</v>
      </c>
      <c r="I9" s="9">
        <v>89740</v>
      </c>
      <c r="J9" s="9">
        <v>139324</v>
      </c>
      <c r="L9" s="9">
        <f t="shared" si="0"/>
        <v>3.265286307816518E-2</v>
      </c>
      <c r="M9" s="9">
        <f t="shared" si="1"/>
        <v>0.63976494561997954</v>
      </c>
      <c r="N9" s="9">
        <f t="shared" si="2"/>
        <v>0.36212892043855394</v>
      </c>
      <c r="O9" s="9">
        <f t="shared" si="3"/>
        <v>0.22094140804924861</v>
      </c>
      <c r="P9" s="9">
        <f t="shared" si="4"/>
        <v>10.662460130276255</v>
      </c>
      <c r="Q9" s="9">
        <f t="shared" si="5"/>
        <v>5.1863149250168901</v>
      </c>
      <c r="R9" s="9">
        <f t="shared" si="6"/>
        <v>8.0519070716854593</v>
      </c>
    </row>
    <row r="10" spans="1:18" s="9" customFormat="1">
      <c r="B10" s="9" t="s">
        <v>58</v>
      </c>
      <c r="C10" s="9">
        <v>1519061</v>
      </c>
      <c r="D10" s="9">
        <v>418</v>
      </c>
      <c r="E10" s="9">
        <v>23641</v>
      </c>
      <c r="F10" s="9">
        <v>7910</v>
      </c>
      <c r="G10" s="9">
        <v>3506</v>
      </c>
      <c r="H10" s="9">
        <v>146565</v>
      </c>
      <c r="I10" s="9">
        <v>64331</v>
      </c>
      <c r="J10" s="9">
        <v>115620</v>
      </c>
      <c r="L10" s="9">
        <f t="shared" si="0"/>
        <v>2.7516998988190731E-2</v>
      </c>
      <c r="M10" s="9">
        <f t="shared" si="1"/>
        <v>1.5562903662196581</v>
      </c>
      <c r="N10" s="9">
        <f t="shared" si="2"/>
        <v>0.5207164162597816</v>
      </c>
      <c r="O10" s="9">
        <f t="shared" si="3"/>
        <v>0.23080047476697774</v>
      </c>
      <c r="P10" s="9">
        <f t="shared" si="4"/>
        <v>9.6483946332635746</v>
      </c>
      <c r="Q10" s="9">
        <f t="shared" si="5"/>
        <v>4.2349188083954497</v>
      </c>
      <c r="R10" s="9">
        <f t="shared" si="6"/>
        <v>7.6112809163029</v>
      </c>
    </row>
    <row r="11" spans="1:18" s="9" customFormat="1">
      <c r="B11" s="9" t="s">
        <v>59</v>
      </c>
      <c r="C11" s="9">
        <v>1141950</v>
      </c>
      <c r="D11" s="9">
        <v>2222</v>
      </c>
      <c r="E11" s="9">
        <v>15986</v>
      </c>
      <c r="F11" s="9">
        <v>2878</v>
      </c>
      <c r="G11" s="9">
        <v>2793</v>
      </c>
      <c r="H11" s="9">
        <v>80640</v>
      </c>
      <c r="I11" s="9">
        <v>36794</v>
      </c>
      <c r="J11" s="9">
        <v>79795</v>
      </c>
      <c r="L11" s="9">
        <f t="shared" si="0"/>
        <v>0.19457944743640265</v>
      </c>
      <c r="M11" s="9">
        <f t="shared" si="1"/>
        <v>1.3998861596392136</v>
      </c>
      <c r="N11" s="9">
        <f t="shared" si="2"/>
        <v>0.25202504487937299</v>
      </c>
      <c r="O11" s="9">
        <f t="shared" si="3"/>
        <v>0.24458163667411006</v>
      </c>
      <c r="P11" s="9">
        <f t="shared" si="4"/>
        <v>7.0616051490870886</v>
      </c>
      <c r="Q11" s="9">
        <f t="shared" si="5"/>
        <v>3.2220324882875779</v>
      </c>
      <c r="R11" s="9">
        <f t="shared" si="6"/>
        <v>6.9876089145759446</v>
      </c>
    </row>
    <row r="12" spans="1:18" s="3" customFormat="1">
      <c r="A12" s="11" t="s">
        <v>64</v>
      </c>
      <c r="K12" s="11"/>
    </row>
    <row r="13" spans="1:18" s="3" customFormat="1">
      <c r="B13" s="3" t="s">
        <v>66</v>
      </c>
      <c r="C13" s="3">
        <v>1590581</v>
      </c>
      <c r="D13" s="3">
        <v>496</v>
      </c>
      <c r="E13" s="3">
        <v>11024</v>
      </c>
      <c r="F13" s="3">
        <v>903</v>
      </c>
      <c r="G13" s="3">
        <v>1541</v>
      </c>
      <c r="H13" s="3">
        <v>46767</v>
      </c>
      <c r="I13" s="3">
        <v>29278</v>
      </c>
      <c r="J13" s="3">
        <v>161952</v>
      </c>
      <c r="L13" s="3">
        <f>D13/C13*100</f>
        <v>3.1183573801019878E-2</v>
      </c>
      <c r="M13" s="3">
        <f>E13/C13*100</f>
        <v>0.69308007577105468</v>
      </c>
      <c r="N13" s="3">
        <f>F13/C13*100</f>
        <v>5.6771707948227723E-2</v>
      </c>
      <c r="O13" s="3">
        <f>G13/C13*100</f>
        <v>9.6882837151958945E-2</v>
      </c>
      <c r="P13" s="3">
        <f>H13/C13*100</f>
        <v>2.9402463628070499</v>
      </c>
      <c r="Q13" s="3">
        <f>I13/C13*100</f>
        <v>1.8407110357787502</v>
      </c>
      <c r="R13" s="3">
        <f>J13/C13*100</f>
        <v>10.181939806900749</v>
      </c>
    </row>
    <row r="14" spans="1:18" s="3" customFormat="1">
      <c r="B14" s="3" t="s">
        <v>67</v>
      </c>
      <c r="C14" s="3">
        <v>1331756</v>
      </c>
      <c r="D14" s="3">
        <v>613</v>
      </c>
      <c r="E14" s="3">
        <v>9408</v>
      </c>
      <c r="F14" s="3">
        <v>477</v>
      </c>
      <c r="G14" s="3">
        <v>1532</v>
      </c>
      <c r="H14" s="3">
        <v>18440</v>
      </c>
      <c r="I14" s="3">
        <v>11276</v>
      </c>
      <c r="J14" s="3">
        <v>143781</v>
      </c>
      <c r="L14" s="3">
        <f>D14/C14*100</f>
        <v>4.6029452842712926E-2</v>
      </c>
      <c r="M14" s="3">
        <f>E14/C14*100</f>
        <v>0.70643571344901013</v>
      </c>
      <c r="N14" s="3">
        <f>F14/C14*100</f>
        <v>3.5817371951018057E-2</v>
      </c>
      <c r="O14" s="3">
        <f>G14/C14*100</f>
        <v>0.11503608769173933</v>
      </c>
      <c r="P14" s="3">
        <f>H14/C14*100</f>
        <v>1.3846380267856875</v>
      </c>
      <c r="Q14" s="3">
        <f>I14/C14*100</f>
        <v>0.84670164804964265</v>
      </c>
      <c r="R14" s="3">
        <f>J14/C14*100</f>
        <v>10.796347078593977</v>
      </c>
    </row>
    <row r="15" spans="1:18" s="3" customFormat="1">
      <c r="B15" s="3" t="s">
        <v>68</v>
      </c>
      <c r="C15" s="3">
        <v>1369280</v>
      </c>
      <c r="D15" s="3">
        <v>1625</v>
      </c>
      <c r="E15" s="3">
        <v>4919</v>
      </c>
      <c r="F15" s="3">
        <v>460</v>
      </c>
      <c r="G15" s="3">
        <v>744</v>
      </c>
      <c r="H15" s="3">
        <v>22166</v>
      </c>
      <c r="I15" s="3">
        <v>12905</v>
      </c>
      <c r="J15" s="3">
        <v>50306</v>
      </c>
      <c r="L15" s="3">
        <f>D15/C15*100</f>
        <v>0.11867550829633092</v>
      </c>
      <c r="M15" s="3">
        <f>E15/C15*100</f>
        <v>0.35923989249824728</v>
      </c>
      <c r="N15" s="3">
        <f>F15/C15*100</f>
        <v>3.3594297733115216E-2</v>
      </c>
      <c r="O15" s="3">
        <f>G15/C15*100</f>
        <v>5.4335125029212436E-2</v>
      </c>
      <c r="P15" s="3">
        <f>H15/C15*100</f>
        <v>1.6188069642439822</v>
      </c>
      <c r="Q15" s="3">
        <f>I15/C15*100</f>
        <v>0.94246611357793864</v>
      </c>
      <c r="R15" s="3">
        <f>J15/C15*100</f>
        <v>3.6739016125262909</v>
      </c>
    </row>
    <row r="16" spans="1:18" s="3" customFormat="1">
      <c r="B16" s="3" t="s">
        <v>69</v>
      </c>
      <c r="C16" s="3">
        <v>1255450</v>
      </c>
      <c r="D16" s="3">
        <v>17831</v>
      </c>
      <c r="E16" s="3">
        <v>2467</v>
      </c>
      <c r="F16" s="3">
        <v>1659</v>
      </c>
      <c r="G16" s="3">
        <v>1103</v>
      </c>
      <c r="H16" s="3">
        <v>32063</v>
      </c>
      <c r="I16" s="3">
        <v>16821</v>
      </c>
      <c r="J16" s="3">
        <v>40768</v>
      </c>
      <c r="L16" s="3">
        <f>D16/C16*100</f>
        <v>1.4202875462981401</v>
      </c>
      <c r="M16" s="3">
        <f>E16/C16*100</f>
        <v>0.1965032458481023</v>
      </c>
      <c r="N16" s="3">
        <f>F16/C16*100</f>
        <v>0.13214385280178423</v>
      </c>
      <c r="O16" s="3">
        <f>G16/C16*100</f>
        <v>8.7856943725357448E-2</v>
      </c>
      <c r="P16" s="3">
        <f>H16/C16*100</f>
        <v>2.5539049743119997</v>
      </c>
      <c r="Q16" s="3">
        <f>I16/C16*100</f>
        <v>1.3398383049902425</v>
      </c>
      <c r="R16" s="3">
        <f>J16/C16*100</f>
        <v>3.2472818511290775</v>
      </c>
    </row>
    <row r="17" spans="1:18" s="3" customFormat="1">
      <c r="B17" s="3" t="s">
        <v>70</v>
      </c>
      <c r="C17" s="3">
        <v>3256500</v>
      </c>
      <c r="D17" s="3">
        <v>15688</v>
      </c>
      <c r="E17" s="3">
        <v>11961</v>
      </c>
      <c r="F17" s="3">
        <v>6754</v>
      </c>
      <c r="G17" s="3">
        <v>5983</v>
      </c>
      <c r="H17" s="3">
        <v>218876</v>
      </c>
      <c r="I17" s="3">
        <v>54772</v>
      </c>
      <c r="J17" s="3">
        <v>173453</v>
      </c>
      <c r="L17" s="3">
        <f>D17/C17*100</f>
        <v>0.48174420389989253</v>
      </c>
      <c r="M17" s="3">
        <f>E17/C17*100</f>
        <v>0.36729617687701521</v>
      </c>
      <c r="N17" s="3">
        <f>F17/C17*100</f>
        <v>0.20740058344848764</v>
      </c>
      <c r="O17" s="3">
        <f>G17/C17*100</f>
        <v>0.18372485797635499</v>
      </c>
      <c r="P17" s="3">
        <f>H17/C17*100</f>
        <v>6.7212037463534466</v>
      </c>
      <c r="Q17" s="3">
        <f>I17/C17*100</f>
        <v>1.6819284507907262</v>
      </c>
      <c r="R17" s="3">
        <f>J17/C17*100</f>
        <v>5.326362659296791</v>
      </c>
    </row>
    <row r="18" spans="1:18" s="5" customFormat="1">
      <c r="A18" s="12" t="s">
        <v>65</v>
      </c>
    </row>
    <row r="19" spans="1:18" s="5" customFormat="1">
      <c r="B19" s="5" t="s">
        <v>71</v>
      </c>
      <c r="C19" s="5">
        <v>1718936</v>
      </c>
      <c r="D19" s="5">
        <v>866</v>
      </c>
      <c r="E19" s="5">
        <v>233</v>
      </c>
      <c r="F19" s="5">
        <v>4</v>
      </c>
      <c r="G19" s="5">
        <v>17</v>
      </c>
      <c r="H19" s="5">
        <v>312</v>
      </c>
      <c r="I19" s="5">
        <v>383</v>
      </c>
      <c r="J19" s="5">
        <v>23744</v>
      </c>
      <c r="L19" s="5">
        <f>D19/C19*100</f>
        <v>5.0380002513182573E-2</v>
      </c>
      <c r="M19" s="5">
        <f>E19/C19*100</f>
        <v>1.3554896750082611E-2</v>
      </c>
      <c r="N19" s="5">
        <f>F19/C19*100</f>
        <v>2.3270209013017353E-4</v>
      </c>
      <c r="O19" s="5">
        <f>G19/C19*100</f>
        <v>9.8898388305323766E-4</v>
      </c>
      <c r="P19" s="5">
        <f>H19/C19*100</f>
        <v>1.815076303015354E-2</v>
      </c>
      <c r="Q19" s="5">
        <f>I19/C19*100</f>
        <v>2.2281225129964118E-2</v>
      </c>
      <c r="R19" s="5">
        <f>J19/C19*100</f>
        <v>1.3813196070127103</v>
      </c>
    </row>
    <row r="20" spans="1:18" s="5" customFormat="1">
      <c r="B20" s="5" t="s">
        <v>72</v>
      </c>
      <c r="C20" s="5">
        <v>1214615</v>
      </c>
      <c r="D20" s="5">
        <v>462</v>
      </c>
      <c r="E20" s="5">
        <v>1260</v>
      </c>
      <c r="F20" s="5">
        <v>178</v>
      </c>
      <c r="G20" s="5">
        <v>129</v>
      </c>
      <c r="H20" s="5">
        <v>1713</v>
      </c>
      <c r="I20" s="5">
        <v>493</v>
      </c>
      <c r="J20" s="5">
        <v>923</v>
      </c>
      <c r="L20" s="5">
        <f>D20/C20*100</f>
        <v>3.8036744153497198E-2</v>
      </c>
      <c r="M20" s="5">
        <f>E20/C20*100</f>
        <v>0.10373657496408327</v>
      </c>
      <c r="N20" s="5">
        <f>F20/C20*100</f>
        <v>1.4654849479053033E-2</v>
      </c>
      <c r="O20" s="5">
        <f>G20/C20*100</f>
        <v>1.0620649341560906E-2</v>
      </c>
      <c r="P20" s="5">
        <f>H20/C20*100</f>
        <v>0.14103234358212272</v>
      </c>
      <c r="Q20" s="5">
        <f>I20/C20*100</f>
        <v>4.0588993220073852E-2</v>
      </c>
      <c r="R20" s="5">
        <f>J20/C20*100</f>
        <v>7.5991157691943534E-2</v>
      </c>
    </row>
    <row r="21" spans="1:18" s="5" customFormat="1">
      <c r="B21" s="5" t="s">
        <v>73</v>
      </c>
      <c r="C21" s="5">
        <v>1076658</v>
      </c>
      <c r="D21" s="5">
        <v>417</v>
      </c>
      <c r="E21" s="5">
        <v>5257</v>
      </c>
      <c r="F21" s="5">
        <v>423</v>
      </c>
      <c r="G21" s="5">
        <v>272</v>
      </c>
      <c r="H21" s="5">
        <v>6649</v>
      </c>
      <c r="I21" s="5">
        <v>1514</v>
      </c>
      <c r="J21" s="5">
        <v>2762</v>
      </c>
      <c r="L21" s="5">
        <f>D21/C21*100</f>
        <v>3.8730961921055712E-2</v>
      </c>
      <c r="M21" s="5">
        <f>E21/C21*100</f>
        <v>0.48827018421820112</v>
      </c>
      <c r="N21" s="5">
        <f>F21/C21*100</f>
        <v>3.9288241948696803E-2</v>
      </c>
      <c r="O21" s="5">
        <f>G21/C21*100</f>
        <v>2.5263361253062718E-2</v>
      </c>
      <c r="P21" s="5">
        <f>H21/C21*100</f>
        <v>0.61755915063093381</v>
      </c>
      <c r="Q21" s="5">
        <f>I21/C21*100</f>
        <v>0.14062032697476823</v>
      </c>
      <c r="R21" s="5">
        <f>J21/C21*100</f>
        <v>0.25653457272411478</v>
      </c>
    </row>
    <row r="22" spans="1:18" s="5" customFormat="1">
      <c r="B22" s="5" t="s">
        <v>74</v>
      </c>
      <c r="C22" s="5">
        <v>1095940</v>
      </c>
      <c r="D22" s="5">
        <v>4876</v>
      </c>
      <c r="E22" s="5">
        <v>9404</v>
      </c>
      <c r="F22" s="5">
        <v>3887</v>
      </c>
      <c r="G22" s="5">
        <v>1578</v>
      </c>
      <c r="H22" s="5">
        <v>112848</v>
      </c>
      <c r="I22" s="5">
        <v>39367</v>
      </c>
      <c r="J22" s="5">
        <v>60151</v>
      </c>
      <c r="L22" s="5">
        <f>D22/C22*100</f>
        <v>0.44491486760224097</v>
      </c>
      <c r="M22" s="5">
        <f>E22/C22*100</f>
        <v>0.85807617205321451</v>
      </c>
      <c r="N22" s="5">
        <f>F22/C22*100</f>
        <v>0.35467270106027704</v>
      </c>
      <c r="O22" s="5">
        <f>G22/C22*100</f>
        <v>0.14398598463419532</v>
      </c>
      <c r="P22" s="5">
        <f>H22/C22*100</f>
        <v>10.296914064638575</v>
      </c>
      <c r="Q22" s="5">
        <f>I22/C22*100</f>
        <v>3.5920762085515632</v>
      </c>
      <c r="R22" s="5">
        <f>J22/C22*100</f>
        <v>5.4885303939996719</v>
      </c>
    </row>
    <row r="23" spans="1:18" s="5" customFormat="1">
      <c r="B23" s="5" t="s">
        <v>75</v>
      </c>
      <c r="C23" s="5">
        <v>2835320</v>
      </c>
      <c r="D23" s="5">
        <v>1733</v>
      </c>
      <c r="E23" s="5">
        <v>18629</v>
      </c>
      <c r="F23" s="5">
        <v>2413</v>
      </c>
      <c r="G23" s="5">
        <v>2143</v>
      </c>
      <c r="H23" s="5">
        <v>164261</v>
      </c>
      <c r="I23" s="5">
        <v>50451</v>
      </c>
      <c r="J23" s="5">
        <v>196362</v>
      </c>
      <c r="L23" s="5">
        <f>D23/C23*100</f>
        <v>6.1121848680219519E-2</v>
      </c>
      <c r="M23" s="5">
        <f>E23/C23*100</f>
        <v>0.65703342127167308</v>
      </c>
      <c r="N23" s="5">
        <f>F23/C23*100</f>
        <v>8.5105032236220249E-2</v>
      </c>
      <c r="O23" s="5">
        <f>G23/C23*100</f>
        <v>7.5582297588984659E-2</v>
      </c>
      <c r="P23" s="5">
        <f>H23/C23*100</f>
        <v>5.7933848736650537</v>
      </c>
      <c r="Q23" s="5">
        <f>I23/C23*100</f>
        <v>1.7793758729173426</v>
      </c>
      <c r="R23" s="5">
        <f>J23/C23*100</f>
        <v>6.9255674844462005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BB48-336D-4BE1-9BF5-1C04AEB15D1D}">
  <dimension ref="A1:G3"/>
  <sheetViews>
    <sheetView tabSelected="1" workbookViewId="0">
      <selection activeCell="C15" sqref="C15"/>
    </sheetView>
  </sheetViews>
  <sheetFormatPr defaultRowHeight="14.25"/>
  <cols>
    <col min="1" max="1" width="27.59765625" customWidth="1"/>
  </cols>
  <sheetData>
    <row r="1" spans="1:7">
      <c r="A1" s="1" t="s">
        <v>82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 t="s">
        <v>45</v>
      </c>
      <c r="B2">
        <v>0.1</v>
      </c>
      <c r="C2">
        <v>1</v>
      </c>
      <c r="D2">
        <v>0.1</v>
      </c>
      <c r="E2">
        <v>5</v>
      </c>
      <c r="F2">
        <v>0.1</v>
      </c>
      <c r="G2">
        <v>0.1</v>
      </c>
    </row>
    <row r="3" spans="1:7">
      <c r="A3" t="s">
        <v>83</v>
      </c>
      <c r="B3">
        <v>0.1</v>
      </c>
      <c r="C3">
        <v>1</v>
      </c>
      <c r="D3">
        <v>1</v>
      </c>
      <c r="E3">
        <v>5</v>
      </c>
      <c r="F3">
        <v>0.1</v>
      </c>
      <c r="G3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072-5BC3-47DF-B455-DBC86E4D0E2D}">
  <dimension ref="A1:G3"/>
  <sheetViews>
    <sheetView workbookViewId="0">
      <selection sqref="A1:G3"/>
    </sheetView>
  </sheetViews>
  <sheetFormatPr defaultRowHeight="14.25"/>
  <cols>
    <col min="1" max="1" width="19.3984375" customWidth="1"/>
  </cols>
  <sheetData>
    <row r="1" spans="1:7">
      <c r="A1" s="1" t="s">
        <v>82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 t="s">
        <v>45</v>
      </c>
      <c r="B2">
        <v>0.3</v>
      </c>
      <c r="C2">
        <v>1</v>
      </c>
      <c r="D2">
        <v>1</v>
      </c>
      <c r="E2">
        <v>3</v>
      </c>
      <c r="F2">
        <v>0.5</v>
      </c>
      <c r="G2">
        <v>0.3</v>
      </c>
    </row>
    <row r="3" spans="1:7">
      <c r="A3" t="s">
        <v>83</v>
      </c>
      <c r="B3">
        <v>0.3</v>
      </c>
      <c r="C3">
        <v>1</v>
      </c>
      <c r="D3">
        <v>2</v>
      </c>
      <c r="E3">
        <v>3</v>
      </c>
      <c r="F3">
        <v>0.5</v>
      </c>
      <c r="G3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EB33-6138-4410-943E-949E74C2A241}">
  <dimension ref="A1:G3"/>
  <sheetViews>
    <sheetView workbookViewId="0">
      <selection activeCell="D10" sqref="D10"/>
    </sheetView>
  </sheetViews>
  <sheetFormatPr defaultRowHeight="14.25"/>
  <cols>
    <col min="1" max="1" width="19" customWidth="1"/>
  </cols>
  <sheetData>
    <row r="1" spans="1:7">
      <c r="A1" s="1" t="s">
        <v>82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 t="s">
        <v>45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83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KO_vs_WT</vt:lpstr>
      <vt:lpstr>Old_vs_WT</vt:lpstr>
      <vt:lpstr>Scenario1_rates</vt:lpstr>
      <vt:lpstr>Scenario2_rates</vt:lpstr>
      <vt:lpstr>Scenario3_rates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Lin</dc:creator>
  <cp:lastModifiedBy>Apeksha Singh</cp:lastModifiedBy>
  <dcterms:created xsi:type="dcterms:W3CDTF">2017-04-29T04:45:10Z</dcterms:created>
  <dcterms:modified xsi:type="dcterms:W3CDTF">2025-12-07T21:11:08Z</dcterms:modified>
</cp:coreProperties>
</file>